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ily reports "/>
    <sheet r:id="rId2" sheetId="2" name="Eggs Sales"/>
  </sheets>
  <calcPr fullCalcOnLoad="1"/>
</workbook>
</file>

<file path=xl/sharedStrings.xml><?xml version="1.0" encoding="utf-8"?>
<sst xmlns="http://schemas.openxmlformats.org/spreadsheetml/2006/main" count="132" uniqueCount="80">
  <si>
    <t xml:space="preserve">Date </t>
  </si>
  <si>
    <t>Customer Name</t>
  </si>
  <si>
    <t>No. of trays</t>
  </si>
  <si>
    <t>Price /tray</t>
  </si>
  <si>
    <t xml:space="preserve">Total Amount </t>
  </si>
  <si>
    <t>Invoice No.</t>
  </si>
  <si>
    <t xml:space="preserve">Payment Received </t>
  </si>
  <si>
    <t xml:space="preserve">Balance </t>
  </si>
  <si>
    <t>10.09.2025</t>
  </si>
  <si>
    <t xml:space="preserve">Customer </t>
  </si>
  <si>
    <t>18.09.2025</t>
  </si>
  <si>
    <t>Peter</t>
  </si>
  <si>
    <t>21.09.2025</t>
  </si>
  <si>
    <t>Main House</t>
  </si>
  <si>
    <t>22.09.2025</t>
  </si>
  <si>
    <t>23.09.2025</t>
  </si>
  <si>
    <t>hubby</t>
  </si>
  <si>
    <t>24.09.2025</t>
  </si>
  <si>
    <t>cash sale</t>
  </si>
  <si>
    <t>27.09.2025</t>
  </si>
  <si>
    <t>29.09.2025</t>
  </si>
  <si>
    <t>Vinnid</t>
  </si>
  <si>
    <t>30.09.2025</t>
  </si>
  <si>
    <t>Poshano</t>
  </si>
  <si>
    <t>Kabuba</t>
  </si>
  <si>
    <t>02.10.2025</t>
  </si>
  <si>
    <t>03.10.2025</t>
  </si>
  <si>
    <t>04.10.2025</t>
  </si>
  <si>
    <t>05.10.2025</t>
  </si>
  <si>
    <t>07.10.2025</t>
  </si>
  <si>
    <t>08.10.2025</t>
  </si>
  <si>
    <t>Ba Yama</t>
  </si>
  <si>
    <t>09.10.2025</t>
  </si>
  <si>
    <t>10.10.2025</t>
  </si>
  <si>
    <t>Shond's TR</t>
  </si>
  <si>
    <t>12.10.2025</t>
  </si>
  <si>
    <t>house</t>
  </si>
  <si>
    <t>13.10.2025</t>
  </si>
  <si>
    <t>Charity</t>
  </si>
  <si>
    <t>14.10.2025</t>
  </si>
  <si>
    <t>Tito</t>
  </si>
  <si>
    <t>paid</t>
  </si>
  <si>
    <t>Mutanga</t>
  </si>
  <si>
    <t>Hand out</t>
  </si>
  <si>
    <t>15.10.2025</t>
  </si>
  <si>
    <t>sale</t>
  </si>
  <si>
    <t>16.10.2025</t>
  </si>
  <si>
    <t>tito</t>
  </si>
  <si>
    <t>17.10.2025</t>
  </si>
  <si>
    <t>18.10.2025</t>
  </si>
  <si>
    <t>19.10.2025</t>
  </si>
  <si>
    <t xml:space="preserve">Age in weeks </t>
  </si>
  <si>
    <t xml:space="preserve">No. of Eggs Picked </t>
  </si>
  <si>
    <t xml:space="preserve">No. of trays picked </t>
  </si>
  <si>
    <t>Damages</t>
  </si>
  <si>
    <t>No. of Trays out</t>
  </si>
  <si>
    <t xml:space="preserve">No. of Trays in </t>
  </si>
  <si>
    <t>Extras</t>
  </si>
  <si>
    <t xml:space="preserve">Motarlity </t>
  </si>
  <si>
    <t xml:space="preserve">No. of bags of feed used </t>
  </si>
  <si>
    <t>No. of Birds</t>
  </si>
  <si>
    <t xml:space="preserve">Daily P/percenage% </t>
  </si>
  <si>
    <t>08.09.2025</t>
  </si>
  <si>
    <t>09.09.2025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</si>
  <si>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</si>
  <si>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</si>
  <si>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</si>
  <si>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</si>
  <si>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</si>
  <si>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</si>
  <si>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</si>
  <si>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19.09.2025</t>
  </si>
  <si>
    <t>20.09.2025</t>
  </si>
  <si>
    <t>25.09.2025</t>
  </si>
  <si>
    <t>26.09.2025</t>
  </si>
  <si>
    <t>28.09.2025</t>
  </si>
  <si>
    <t>01.10.2025</t>
  </si>
  <si>
    <t>06.10.2025</t>
  </si>
  <si>
    <t>11.10.2025</t>
  </si>
  <si>
    <t>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</si>
</sst>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00b05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2" applyFont="1" fillId="2" applyFill="1" applyAlignment="1">
      <alignment horizontal="left" wrapText="1"/>
    </xf>
    <xf xfId="0" numFmtId="3" applyNumberFormat="1" borderId="2" applyBorder="1" fontId="2" applyFont="1" fillId="2" applyFill="1" applyAlignment="1">
      <alignment horizontal="center" wrapText="1"/>
    </xf>
    <xf xfId="0" numFmtId="4" applyNumberFormat="1" borderId="2" applyBorder="1" fontId="2" applyFont="1" fillId="2" applyFill="1" applyAlignment="1">
      <alignment horizontal="center" wrapText="1"/>
    </xf>
    <xf xfId="0" numFmtId="3" applyNumberFormat="1" borderId="1" applyBorder="1" fontId="3" applyFont="1" fillId="0" applyAlignment="1">
      <alignment horizontal="center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1" applyFont="1" fillId="3" applyFill="1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43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15.43357142857143" customWidth="1" bestFit="1"/>
    <col min="2" max="2" style="7" width="12.576428571428572" customWidth="1" bestFit="1"/>
    <col min="3" max="3" style="7" width="17.005" customWidth="1" bestFit="1"/>
    <col min="4" max="4" style="7" width="17.14785714285714" customWidth="1" bestFit="1"/>
    <col min="5" max="5" style="7" width="7.719285714285714" customWidth="1" bestFit="1"/>
    <col min="6" max="6" style="7" width="14.005" customWidth="1" bestFit="1"/>
    <col min="7" max="7" style="7" width="13.290714285714287" customWidth="1" bestFit="1"/>
    <col min="8" max="8" style="7" width="9.862142857142858" customWidth="1" bestFit="1"/>
    <col min="9" max="9" style="7" width="10.005" customWidth="1" bestFit="1"/>
    <col min="10" max="10" style="7" width="21.719285714285714" customWidth="1" bestFit="1"/>
    <col min="11" max="11" style="17" width="21.719285714285714" customWidth="1" bestFit="1"/>
    <col min="12" max="12" style="18" width="14.005" customWidth="1" bestFit="1"/>
    <col min="13" max="13" style="5" width="13.576428571428572" customWidth="1" bestFit="1"/>
  </cols>
  <sheetData>
    <row x14ac:dyDescent="0.25" r="1" customHeight="1" ht="18.75" customFormat="1" s="8">
      <c r="A1" s="9" t="s">
        <v>0</v>
      </c>
      <c r="B1" s="10" t="s">
        <v>51</v>
      </c>
      <c r="C1" s="10" t="s">
        <v>52</v>
      </c>
      <c r="D1" s="10" t="s">
        <v>53</v>
      </c>
      <c r="E1" s="10" t="s">
        <v>54</v>
      </c>
      <c r="F1" s="10" t="s">
        <v>55</v>
      </c>
      <c r="G1" s="10" t="s">
        <v>56</v>
      </c>
      <c r="H1" s="10" t="s">
        <v>57</v>
      </c>
      <c r="I1" s="10" t="s">
        <v>58</v>
      </c>
      <c r="J1" s="10" t="s">
        <v>59</v>
      </c>
      <c r="K1" s="10" t="s">
        <v>60</v>
      </c>
      <c r="L1" s="11" t="s">
        <v>61</v>
      </c>
      <c r="M1" s="9"/>
    </row>
    <row x14ac:dyDescent="0.25" r="2" customHeight="1" ht="19.5">
      <c r="A2" s="1"/>
      <c r="B2" s="3"/>
      <c r="C2" s="3"/>
      <c r="D2" s="3"/>
      <c r="E2" s="3"/>
      <c r="F2" s="3"/>
      <c r="G2" s="3"/>
      <c r="H2" s="3"/>
      <c r="I2" s="3"/>
      <c r="J2" s="12">
        <f>(J3-J4-J5-J6-J7-J8-J9-J10-J11-J12-J13-J14-J15-J16-J17-J18-J19-J20-J21-J22-J23-J24-J25-J26-J27-J28-J29-J30-J31-J32-J33-J34-J35-J36-J37-J38-J39-J40-J41-J42-J43-J44-J45-J46-J47-J48-J49-J50-J51-J52-J53-J54-J55-J56-J57-J58-J59-J60)</f>
      </c>
      <c r="K2" s="12">
        <v>2007</v>
      </c>
      <c r="L2" s="13"/>
      <c r="M2" s="1"/>
    </row>
    <row x14ac:dyDescent="0.25" r="3" customHeight="1" ht="18.75">
      <c r="A3" s="1"/>
      <c r="B3" s="3"/>
      <c r="C3" s="3"/>
      <c r="D3" s="3"/>
      <c r="E3" s="3"/>
      <c r="F3" s="3"/>
      <c r="G3" s="3"/>
      <c r="H3" s="3"/>
      <c r="I3" s="14">
        <v>0</v>
      </c>
      <c r="J3" s="14">
        <v>300</v>
      </c>
      <c r="K3" s="14">
        <f>(K2-I3)</f>
      </c>
      <c r="L3" s="13"/>
      <c r="M3" s="1"/>
    </row>
    <row x14ac:dyDescent="0.25" r="4" customHeight="1" ht="18.75">
      <c r="A4" s="1" t="s">
        <v>62</v>
      </c>
      <c r="B4" s="14">
        <v>18</v>
      </c>
      <c r="C4" s="14">
        <v>1</v>
      </c>
      <c r="D4" s="3"/>
      <c r="E4" s="3"/>
      <c r="F4" s="3"/>
      <c r="G4" s="3"/>
      <c r="H4" s="3"/>
      <c r="I4" s="14">
        <v>0</v>
      </c>
      <c r="J4" s="14">
        <v>4</v>
      </c>
      <c r="K4" s="14">
        <f>(K3-I4)</f>
      </c>
      <c r="L4" s="15">
        <f>(C4/K4)*100</f>
      </c>
      <c r="M4" s="1"/>
    </row>
    <row x14ac:dyDescent="0.25" r="5" customHeight="1" ht="18.75">
      <c r="A5" s="1" t="s">
        <v>63</v>
      </c>
      <c r="B5" s="3"/>
      <c r="C5" s="14">
        <v>12</v>
      </c>
      <c r="D5" s="3"/>
      <c r="E5" s="14">
        <v>2</v>
      </c>
      <c r="F5" s="3"/>
      <c r="G5" s="3"/>
      <c r="H5" s="3"/>
      <c r="I5" s="14">
        <v>0</v>
      </c>
      <c r="J5" s="14">
        <v>4</v>
      </c>
      <c r="K5" s="14">
        <f>(K4-I5)</f>
      </c>
      <c r="L5" s="15">
        <f>(C5/K5*100)</f>
      </c>
      <c r="M5" s="1"/>
    </row>
    <row x14ac:dyDescent="0.25" r="6" customHeight="1" ht="18.75">
      <c r="A6" s="1" t="s">
        <v>8</v>
      </c>
      <c r="B6" s="3"/>
      <c r="C6" s="14">
        <v>22</v>
      </c>
      <c r="D6" s="3"/>
      <c r="E6" s="3"/>
      <c r="F6" s="14">
        <v>1</v>
      </c>
      <c r="G6" s="3"/>
      <c r="H6" s="3"/>
      <c r="I6" s="14">
        <v>0</v>
      </c>
      <c r="J6" s="14">
        <v>4</v>
      </c>
      <c r="K6" s="14">
        <f>(K5-I6)</f>
      </c>
      <c r="L6" s="15">
        <f>(C6/K6*100)</f>
      </c>
      <c r="M6" s="1"/>
    </row>
    <row x14ac:dyDescent="0.25" r="7" customHeight="1" ht="18.75">
      <c r="A7" s="1" t="s">
        <v>64</v>
      </c>
      <c r="B7" s="3"/>
      <c r="C7" s="14">
        <v>31</v>
      </c>
      <c r="D7" s="14">
        <v>1</v>
      </c>
      <c r="E7" s="3"/>
      <c r="F7" s="3"/>
      <c r="G7" s="14">
        <v>1</v>
      </c>
      <c r="H7" s="14">
        <v>1</v>
      </c>
      <c r="I7" s="14">
        <v>0</v>
      </c>
      <c r="J7" s="14">
        <v>4</v>
      </c>
      <c r="K7" s="14">
        <f>(K6-I7)</f>
      </c>
      <c r="L7" s="15">
        <f>(C7/K7*100)</f>
      </c>
      <c r="M7" s="1"/>
    </row>
    <row x14ac:dyDescent="0.25" r="8" customHeight="1" ht="18.75">
      <c r="A8" s="1" t="s">
        <v>65</v>
      </c>
      <c r="B8" s="3"/>
      <c r="C8" s="14">
        <v>43</v>
      </c>
      <c r="D8" s="14">
        <v>1</v>
      </c>
      <c r="E8" s="14">
        <v>3</v>
      </c>
      <c r="F8" s="14">
        <v>2</v>
      </c>
      <c r="G8" s="3"/>
      <c r="H8" s="14">
        <v>10</v>
      </c>
      <c r="I8" s="14">
        <v>0</v>
      </c>
      <c r="J8" s="14">
        <v>4</v>
      </c>
      <c r="K8" s="14">
        <f>(K7-I8)</f>
      </c>
      <c r="L8" s="15">
        <f>(C8/K8*100)</f>
      </c>
      <c r="M8" s="1"/>
    </row>
    <row x14ac:dyDescent="0.25" r="9" customHeight="1" ht="18.75">
      <c r="A9" s="1" t="s">
        <v>66</v>
      </c>
      <c r="B9" s="3"/>
      <c r="C9" s="14">
        <v>73</v>
      </c>
      <c r="D9" s="14">
        <v>2</v>
      </c>
      <c r="E9" s="14">
        <v>13</v>
      </c>
      <c r="F9" s="3"/>
      <c r="G9" s="14">
        <v>4</v>
      </c>
      <c r="H9" s="3"/>
      <c r="I9" s="14">
        <v>0</v>
      </c>
      <c r="J9" s="14">
        <v>4</v>
      </c>
      <c r="K9" s="14">
        <f>(K8-I9)</f>
      </c>
      <c r="L9" s="15">
        <f>(C9/K9*100)</f>
      </c>
      <c r="M9" s="1"/>
    </row>
    <row x14ac:dyDescent="0.25" r="10" customHeight="1" ht="18.75">
      <c r="A10" s="1" t="s">
        <v>67</v>
      </c>
      <c r="B10" s="3"/>
      <c r="C10" s="14">
        <v>84</v>
      </c>
      <c r="D10" s="14">
        <v>2</v>
      </c>
      <c r="E10" s="3"/>
      <c r="F10" s="3"/>
      <c r="G10" s="14">
        <v>6</v>
      </c>
      <c r="H10" s="14">
        <v>24</v>
      </c>
      <c r="I10" s="14">
        <v>0</v>
      </c>
      <c r="J10" s="14">
        <v>4</v>
      </c>
      <c r="K10" s="14">
        <f>(K9-I10)</f>
      </c>
      <c r="L10" s="15">
        <f>(C10/K10*100)</f>
      </c>
      <c r="M10" s="1"/>
    </row>
    <row x14ac:dyDescent="0.25" r="11" customHeight="1" ht="18.75">
      <c r="A11" s="1" t="s">
        <v>68</v>
      </c>
      <c r="B11" s="14">
        <v>19</v>
      </c>
      <c r="C11" s="14">
        <v>254</v>
      </c>
      <c r="D11" s="14">
        <v>4</v>
      </c>
      <c r="E11" s="3"/>
      <c r="F11" s="3"/>
      <c r="G11" s="14">
        <v>10</v>
      </c>
      <c r="H11" s="14">
        <v>14</v>
      </c>
      <c r="I11" s="14">
        <v>0</v>
      </c>
      <c r="J11" s="14">
        <v>4</v>
      </c>
      <c r="K11" s="14">
        <f>(K10-I11)</f>
      </c>
      <c r="L11" s="15">
        <f>(C11/K11*100)</f>
      </c>
      <c r="M11" s="1"/>
    </row>
    <row x14ac:dyDescent="0.25" r="12" customHeight="1" ht="18.75">
      <c r="A12" s="1" t="s">
        <v>69</v>
      </c>
      <c r="B12" s="3"/>
      <c r="C12" s="14">
        <v>195</v>
      </c>
      <c r="D12" s="14">
        <v>6</v>
      </c>
      <c r="E12" s="14">
        <v>4</v>
      </c>
      <c r="F12" s="3"/>
      <c r="G12" s="14">
        <v>16</v>
      </c>
      <c r="H12" s="14">
        <v>11</v>
      </c>
      <c r="I12" s="14">
        <v>0</v>
      </c>
      <c r="J12" s="14">
        <v>4</v>
      </c>
      <c r="K12" s="14">
        <f>(K11-I12)</f>
      </c>
      <c r="L12" s="15">
        <f>(C12/K12*100)</f>
      </c>
      <c r="M12" s="1"/>
    </row>
    <row x14ac:dyDescent="0.25" r="13" customHeight="1" ht="18.75">
      <c r="A13" s="1" t="s">
        <v>70</v>
      </c>
      <c r="B13" s="3"/>
      <c r="C13" s="14">
        <v>247</v>
      </c>
      <c r="D13" s="14">
        <v>8</v>
      </c>
      <c r="E13" s="3"/>
      <c r="F13" s="3"/>
      <c r="G13" s="14">
        <v>24</v>
      </c>
      <c r="H13" s="14">
        <v>7</v>
      </c>
      <c r="I13" s="14">
        <v>0</v>
      </c>
      <c r="J13" s="14">
        <v>4</v>
      </c>
      <c r="K13" s="14">
        <f>(K12-I13)</f>
      </c>
      <c r="L13" s="15">
        <f>(C13/K13*100)</f>
      </c>
      <c r="M13" s="1"/>
    </row>
    <row x14ac:dyDescent="0.25" r="14" customHeight="1" ht="18.75">
      <c r="A14" s="1" t="s">
        <v>10</v>
      </c>
      <c r="B14" s="3"/>
      <c r="C14" s="14">
        <v>400</v>
      </c>
      <c r="D14" s="14">
        <v>10</v>
      </c>
      <c r="E14" s="14">
        <v>3</v>
      </c>
      <c r="F14" s="14">
        <v>26</v>
      </c>
      <c r="G14" s="14">
        <v>10</v>
      </c>
      <c r="H14" s="14">
        <v>7</v>
      </c>
      <c r="I14" s="14">
        <v>1</v>
      </c>
      <c r="J14" s="14">
        <v>4</v>
      </c>
      <c r="K14" s="14">
        <f>(K13-I14)</f>
      </c>
      <c r="L14" s="15">
        <f>(C14/K14*100)</f>
      </c>
      <c r="M14" s="1"/>
    </row>
    <row x14ac:dyDescent="0.25" r="15" customHeight="1" ht="18.75">
      <c r="A15" s="1" t="s">
        <v>71</v>
      </c>
      <c r="B15" s="3"/>
      <c r="C15" s="14">
        <v>374</v>
      </c>
      <c r="D15" s="14">
        <v>12</v>
      </c>
      <c r="E15" s="14">
        <v>4</v>
      </c>
      <c r="F15" s="3"/>
      <c r="G15" s="14">
        <v>22</v>
      </c>
      <c r="H15" s="14">
        <v>10</v>
      </c>
      <c r="I15" s="14">
        <v>1</v>
      </c>
      <c r="J15" s="14">
        <v>4</v>
      </c>
      <c r="K15" s="14">
        <f>(K14-I15)</f>
      </c>
      <c r="L15" s="15">
        <f>(C15/K15*100)</f>
      </c>
      <c r="M15" s="1"/>
    </row>
    <row x14ac:dyDescent="0.25" r="16" customHeight="1" ht="18.75">
      <c r="A16" s="1" t="s">
        <v>72</v>
      </c>
      <c r="B16" s="3"/>
      <c r="C16" s="14">
        <v>448</v>
      </c>
      <c r="D16" s="14">
        <v>14</v>
      </c>
      <c r="E16" s="14">
        <v>6</v>
      </c>
      <c r="F16" s="3"/>
      <c r="G16" s="14">
        <v>36</v>
      </c>
      <c r="H16" s="14">
        <v>22</v>
      </c>
      <c r="I16" s="14">
        <v>0</v>
      </c>
      <c r="J16" s="14">
        <v>4</v>
      </c>
      <c r="K16" s="14">
        <f>(K15-I16)</f>
      </c>
      <c r="L16" s="15">
        <f>(C16/K16*100)</f>
      </c>
      <c r="M16" s="1"/>
    </row>
    <row x14ac:dyDescent="0.25" r="17" customHeight="1" ht="18.75">
      <c r="A17" s="1" t="s">
        <v>12</v>
      </c>
      <c r="B17" s="3"/>
      <c r="C17" s="14">
        <v>547</v>
      </c>
      <c r="D17" s="14">
        <v>18</v>
      </c>
      <c r="E17" s="14">
        <v>2</v>
      </c>
      <c r="F17" s="14">
        <v>1</v>
      </c>
      <c r="G17" s="14">
        <v>53</v>
      </c>
      <c r="H17" s="14">
        <v>5</v>
      </c>
      <c r="I17" s="14">
        <v>0</v>
      </c>
      <c r="J17" s="14">
        <v>4</v>
      </c>
      <c r="K17" s="14">
        <f>(K16-I17)</f>
      </c>
      <c r="L17" s="15">
        <f>(C17/K17*100)</f>
      </c>
      <c r="M17" s="1"/>
    </row>
    <row x14ac:dyDescent="0.25" r="18" customHeight="1" ht="18.75">
      <c r="A18" s="1" t="s">
        <v>14</v>
      </c>
      <c r="B18" s="14">
        <v>20</v>
      </c>
      <c r="C18" s="14">
        <v>605</v>
      </c>
      <c r="D18" s="14">
        <v>20</v>
      </c>
      <c r="E18" s="14">
        <v>4</v>
      </c>
      <c r="F18" s="14">
        <v>54</v>
      </c>
      <c r="G18" s="14">
        <v>20</v>
      </c>
      <c r="H18" s="14">
        <v>1</v>
      </c>
      <c r="I18" s="14">
        <v>1</v>
      </c>
      <c r="J18" s="14">
        <v>4</v>
      </c>
      <c r="K18" s="14">
        <f>(K17-I18)</f>
      </c>
      <c r="L18" s="15">
        <f>(C18/K18*100)</f>
      </c>
      <c r="M18" s="1"/>
    </row>
    <row x14ac:dyDescent="0.25" r="19" customHeight="1" ht="18.75">
      <c r="A19" s="1" t="s">
        <v>15</v>
      </c>
      <c r="B19" s="3"/>
      <c r="C19" s="14">
        <v>751</v>
      </c>
      <c r="D19" s="14">
        <v>25</v>
      </c>
      <c r="E19" s="14">
        <v>1</v>
      </c>
      <c r="F19" s="3"/>
      <c r="G19" s="14">
        <v>45</v>
      </c>
      <c r="H19" s="14">
        <v>2</v>
      </c>
      <c r="I19" s="14">
        <v>1</v>
      </c>
      <c r="J19" s="14">
        <v>4</v>
      </c>
      <c r="K19" s="14">
        <f>(K18-I19)</f>
      </c>
      <c r="L19" s="15">
        <f>(C19/K19*100)</f>
      </c>
      <c r="M19" s="1"/>
    </row>
    <row x14ac:dyDescent="0.25" r="20" customHeight="1" ht="18.75">
      <c r="A20" s="1" t="s">
        <v>17</v>
      </c>
      <c r="B20" s="3"/>
      <c r="C20" s="14">
        <v>851</v>
      </c>
      <c r="D20" s="14">
        <v>28</v>
      </c>
      <c r="E20" s="14">
        <v>5</v>
      </c>
      <c r="F20" s="14">
        <v>7</v>
      </c>
      <c r="G20" s="14">
        <v>66</v>
      </c>
      <c r="H20" s="14">
        <v>6</v>
      </c>
      <c r="I20" s="14">
        <v>0</v>
      </c>
      <c r="J20" s="14">
        <v>4</v>
      </c>
      <c r="K20" s="14">
        <f>(K19-I20)</f>
      </c>
      <c r="L20" s="15">
        <f>(C20/K20*100)</f>
      </c>
      <c r="M20" s="1"/>
    </row>
    <row x14ac:dyDescent="0.25" r="21" customHeight="1" ht="18.75">
      <c r="A21" s="1" t="s">
        <v>73</v>
      </c>
      <c r="B21" s="3"/>
      <c r="C21" s="14">
        <v>952</v>
      </c>
      <c r="D21" s="14">
        <v>31</v>
      </c>
      <c r="E21" s="14">
        <v>4</v>
      </c>
      <c r="F21" s="14">
        <v>1</v>
      </c>
      <c r="G21" s="14">
        <v>96</v>
      </c>
      <c r="H21" s="14">
        <v>18</v>
      </c>
      <c r="I21" s="14">
        <v>0</v>
      </c>
      <c r="J21" s="14">
        <v>4</v>
      </c>
      <c r="K21" s="14">
        <f>(K20-I21)</f>
      </c>
      <c r="L21" s="15">
        <f>(C21/K21*100)</f>
      </c>
      <c r="M21" s="1"/>
    </row>
    <row x14ac:dyDescent="0.25" r="22" customHeight="1" ht="18.75">
      <c r="A22" s="1" t="s">
        <v>74</v>
      </c>
      <c r="B22" s="3"/>
      <c r="C22" s="14">
        <v>1004</v>
      </c>
      <c r="D22" s="14">
        <v>33</v>
      </c>
      <c r="E22" s="14">
        <v>4</v>
      </c>
      <c r="F22" s="3"/>
      <c r="G22" s="14">
        <v>129</v>
      </c>
      <c r="H22" s="14">
        <v>10</v>
      </c>
      <c r="I22" s="14">
        <v>0</v>
      </c>
      <c r="J22" s="14">
        <v>4</v>
      </c>
      <c r="K22" s="14">
        <f>(K21-I22)</f>
      </c>
      <c r="L22" s="15">
        <f>(C22/K22*100)</f>
      </c>
      <c r="M22" s="1"/>
    </row>
    <row x14ac:dyDescent="0.25" r="23" customHeight="1" ht="18.75">
      <c r="A23" s="1" t="s">
        <v>19</v>
      </c>
      <c r="B23" s="3"/>
      <c r="C23" s="14">
        <v>1035</v>
      </c>
      <c r="D23" s="14">
        <v>34</v>
      </c>
      <c r="E23" s="14">
        <v>5</v>
      </c>
      <c r="F23" s="14">
        <v>2</v>
      </c>
      <c r="G23" s="14">
        <v>161</v>
      </c>
      <c r="H23" s="14">
        <v>10</v>
      </c>
      <c r="I23" s="14">
        <v>0</v>
      </c>
      <c r="J23" s="14">
        <v>4</v>
      </c>
      <c r="K23" s="14">
        <f>(K22-I23)</f>
      </c>
      <c r="L23" s="15">
        <f>(C23/K23*100)</f>
      </c>
      <c r="M23" s="1"/>
    </row>
    <row x14ac:dyDescent="0.25" r="24" customHeight="1" ht="18.75">
      <c r="A24" s="1" t="s">
        <v>75</v>
      </c>
      <c r="B24" s="3"/>
      <c r="C24" s="14">
        <v>1094</v>
      </c>
      <c r="D24" s="14">
        <v>36</v>
      </c>
      <c r="E24" s="14">
        <v>5</v>
      </c>
      <c r="F24" s="3"/>
      <c r="G24" s="14">
        <v>197</v>
      </c>
      <c r="H24" s="14">
        <v>9</v>
      </c>
      <c r="I24" s="14">
        <v>0</v>
      </c>
      <c r="J24" s="14">
        <v>4</v>
      </c>
      <c r="K24" s="14">
        <f>(K23-I24)</f>
      </c>
      <c r="L24" s="15">
        <f>(C24/K24*100)</f>
      </c>
      <c r="M24" s="1"/>
    </row>
    <row x14ac:dyDescent="0.25" r="25" customHeight="1" ht="18.75">
      <c r="A25" s="1" t="s">
        <v>20</v>
      </c>
      <c r="B25" s="14">
        <v>21</v>
      </c>
      <c r="C25" s="14">
        <v>1111</v>
      </c>
      <c r="D25" s="14">
        <v>37</v>
      </c>
      <c r="E25" s="14">
        <v>1</v>
      </c>
      <c r="F25" s="14">
        <v>100</v>
      </c>
      <c r="G25" s="14">
        <v>134</v>
      </c>
      <c r="H25" s="3"/>
      <c r="I25" s="14">
        <v>0</v>
      </c>
      <c r="J25" s="14">
        <v>4</v>
      </c>
      <c r="K25" s="14">
        <f>(K24-I25)</f>
      </c>
      <c r="L25" s="15">
        <f>(C25/K25*100)</f>
      </c>
      <c r="M25" s="1"/>
    </row>
    <row x14ac:dyDescent="0.25" r="26" customHeight="1" ht="18.75">
      <c r="A26" s="1" t="s">
        <v>22</v>
      </c>
      <c r="B26" s="3"/>
      <c r="C26" s="14">
        <v>1237</v>
      </c>
      <c r="D26" s="14">
        <v>41</v>
      </c>
      <c r="E26" s="14">
        <v>7</v>
      </c>
      <c r="F26" s="14">
        <v>101</v>
      </c>
      <c r="G26" s="14">
        <v>74</v>
      </c>
      <c r="H26" s="3"/>
      <c r="I26" s="14">
        <v>0</v>
      </c>
      <c r="J26" s="14">
        <v>4</v>
      </c>
      <c r="K26" s="14">
        <f>(K25-I26)</f>
      </c>
      <c r="L26" s="15">
        <f>(C26/K26*100)</f>
      </c>
      <c r="M26" s="1"/>
    </row>
    <row x14ac:dyDescent="0.25" r="27" customHeight="1" ht="18.75">
      <c r="A27" s="1" t="s">
        <v>76</v>
      </c>
      <c r="B27" s="3"/>
      <c r="C27" s="14">
        <v>1301</v>
      </c>
      <c r="D27" s="14">
        <v>43</v>
      </c>
      <c r="E27" s="14">
        <v>5</v>
      </c>
      <c r="F27" s="3"/>
      <c r="G27" s="14">
        <v>117</v>
      </c>
      <c r="H27" s="14">
        <v>9</v>
      </c>
      <c r="I27" s="14">
        <v>0</v>
      </c>
      <c r="J27" s="14">
        <v>4</v>
      </c>
      <c r="K27" s="14">
        <f>(K26-I27)</f>
      </c>
      <c r="L27" s="15">
        <f>(C27/K27*100)</f>
      </c>
      <c r="M27" s="1"/>
    </row>
    <row x14ac:dyDescent="0.25" r="28" customHeight="1" ht="18.75">
      <c r="A28" s="1" t="s">
        <v>25</v>
      </c>
      <c r="B28" s="3"/>
      <c r="C28" s="14">
        <v>1342</v>
      </c>
      <c r="D28" s="14">
        <v>44</v>
      </c>
      <c r="E28" s="14">
        <v>5</v>
      </c>
      <c r="F28" s="14">
        <v>100</v>
      </c>
      <c r="G28" s="14">
        <v>61</v>
      </c>
      <c r="H28" s="14">
        <v>17</v>
      </c>
      <c r="I28" s="14">
        <v>0</v>
      </c>
      <c r="J28" s="14">
        <v>4</v>
      </c>
      <c r="K28" s="14">
        <f>(K27-I28)</f>
      </c>
      <c r="L28" s="15">
        <f>(C28/K28*100)</f>
      </c>
      <c r="M28" s="1"/>
    </row>
    <row x14ac:dyDescent="0.25" r="29" customHeight="1" ht="18.75">
      <c r="A29" s="1" t="s">
        <v>26</v>
      </c>
      <c r="B29" s="3"/>
      <c r="C29" s="14">
        <v>1391</v>
      </c>
      <c r="D29" s="14">
        <v>46</v>
      </c>
      <c r="E29" s="14">
        <v>5</v>
      </c>
      <c r="F29" s="14">
        <v>1</v>
      </c>
      <c r="G29" s="14">
        <v>106</v>
      </c>
      <c r="H29" s="14">
        <v>6</v>
      </c>
      <c r="I29" s="14">
        <v>0</v>
      </c>
      <c r="J29" s="14">
        <v>4</v>
      </c>
      <c r="K29" s="14">
        <f>(K28-I29)</f>
      </c>
      <c r="L29" s="15">
        <f>(C29/K29*100)</f>
      </c>
      <c r="M29" s="1"/>
    </row>
    <row x14ac:dyDescent="0.25" r="30" customHeight="1" ht="18.75">
      <c r="A30" s="1" t="s">
        <v>27</v>
      </c>
      <c r="B30" s="3"/>
      <c r="C30" s="14">
        <v>1472</v>
      </c>
      <c r="D30" s="14">
        <v>49</v>
      </c>
      <c r="E30" s="14">
        <v>2</v>
      </c>
      <c r="F30" s="14">
        <v>101</v>
      </c>
      <c r="G30" s="14">
        <v>50</v>
      </c>
      <c r="H30" s="3"/>
      <c r="I30" s="14">
        <v>0</v>
      </c>
      <c r="J30" s="14">
        <v>4</v>
      </c>
      <c r="K30" s="14">
        <f>(K29-I30)</f>
      </c>
      <c r="L30" s="15">
        <f>(C30/K30*100)</f>
      </c>
      <c r="M30" s="1"/>
    </row>
    <row x14ac:dyDescent="0.25" r="31" customHeight="1" ht="18.75">
      <c r="A31" s="1" t="s">
        <v>28</v>
      </c>
      <c r="B31" s="3"/>
      <c r="C31" s="14">
        <v>1533</v>
      </c>
      <c r="D31" s="14">
        <v>51</v>
      </c>
      <c r="E31" s="14">
        <v>3</v>
      </c>
      <c r="F31" s="14">
        <v>1</v>
      </c>
      <c r="G31" s="14">
        <v>104</v>
      </c>
      <c r="H31" s="3"/>
      <c r="I31" s="14">
        <v>0</v>
      </c>
      <c r="J31" s="14">
        <v>4</v>
      </c>
      <c r="K31" s="14">
        <f>(K30-I31)</f>
      </c>
      <c r="L31" s="15">
        <f>(C31/K31*100)</f>
      </c>
      <c r="M31" s="1"/>
    </row>
    <row x14ac:dyDescent="0.25" r="32" customHeight="1" ht="18.75">
      <c r="A32" s="1" t="s">
        <v>77</v>
      </c>
      <c r="B32" s="14">
        <v>22</v>
      </c>
      <c r="C32" s="14">
        <v>1564</v>
      </c>
      <c r="D32" s="14">
        <v>52</v>
      </c>
      <c r="E32" s="14">
        <v>2</v>
      </c>
      <c r="F32" s="3"/>
      <c r="G32" s="14">
        <v>156</v>
      </c>
      <c r="H32" s="14">
        <v>2</v>
      </c>
      <c r="I32" s="14">
        <v>1</v>
      </c>
      <c r="J32" s="14">
        <v>4</v>
      </c>
      <c r="K32" s="14">
        <f>(K31-I32)</f>
      </c>
      <c r="L32" s="15">
        <f>(C32/K32*100)</f>
      </c>
      <c r="M32" s="1"/>
    </row>
    <row x14ac:dyDescent="0.25" r="33" customHeight="1" ht="18.75">
      <c r="A33" s="1" t="s">
        <v>29</v>
      </c>
      <c r="B33" s="3"/>
      <c r="C33" s="14">
        <v>1622</v>
      </c>
      <c r="D33" s="14">
        <v>54</v>
      </c>
      <c r="E33" s="14">
        <v>2</v>
      </c>
      <c r="F33" s="14">
        <v>100</v>
      </c>
      <c r="G33" s="14">
        <v>110</v>
      </c>
      <c r="H33" s="3"/>
      <c r="I33" s="14">
        <v>1</v>
      </c>
      <c r="J33" s="14">
        <v>4</v>
      </c>
      <c r="K33" s="14">
        <f>(K32-I33)</f>
      </c>
      <c r="L33" s="15">
        <f>(C33/K33*100)</f>
      </c>
      <c r="M33" s="1"/>
    </row>
    <row x14ac:dyDescent="0.25" r="34" customHeight="1" ht="18.75">
      <c r="A34" s="1" t="s">
        <v>30</v>
      </c>
      <c r="B34" s="3"/>
      <c r="C34" s="14">
        <v>1659</v>
      </c>
      <c r="D34" s="14">
        <v>55</v>
      </c>
      <c r="E34" s="14">
        <v>4</v>
      </c>
      <c r="F34" s="14">
        <v>1</v>
      </c>
      <c r="G34" s="14">
        <v>164</v>
      </c>
      <c r="H34" s="14">
        <v>5</v>
      </c>
      <c r="I34" s="14">
        <v>0</v>
      </c>
      <c r="J34" s="14">
        <v>4</v>
      </c>
      <c r="K34" s="14">
        <f>(K33-I34)</f>
      </c>
      <c r="L34" s="15">
        <f>(C34/K34*100)</f>
      </c>
      <c r="M34" s="1"/>
    </row>
    <row x14ac:dyDescent="0.25" r="35" customHeight="1" ht="18.75">
      <c r="A35" s="1" t="s">
        <v>32</v>
      </c>
      <c r="B35" s="3"/>
      <c r="C35" s="14">
        <v>1689</v>
      </c>
      <c r="D35" s="14">
        <v>56</v>
      </c>
      <c r="E35" s="14">
        <v>3</v>
      </c>
      <c r="F35" s="14">
        <v>50</v>
      </c>
      <c r="G35" s="14">
        <v>170</v>
      </c>
      <c r="H35" s="14">
        <v>6</v>
      </c>
      <c r="I35" s="14">
        <v>1</v>
      </c>
      <c r="J35" s="14">
        <v>4</v>
      </c>
      <c r="K35" s="14">
        <f>(K34-I35)</f>
      </c>
      <c r="L35" s="15">
        <f>(C35/K35*100)</f>
      </c>
      <c r="M35" s="1"/>
    </row>
    <row x14ac:dyDescent="0.25" r="36" customHeight="1" ht="18.75">
      <c r="A36" s="1" t="s">
        <v>33</v>
      </c>
      <c r="B36" s="3"/>
      <c r="C36" s="14">
        <v>1668</v>
      </c>
      <c r="D36" s="14">
        <v>55</v>
      </c>
      <c r="E36" s="14">
        <v>3</v>
      </c>
      <c r="F36" s="14">
        <v>2</v>
      </c>
      <c r="G36" s="14">
        <v>223</v>
      </c>
      <c r="H36" s="14">
        <v>15</v>
      </c>
      <c r="I36" s="14">
        <v>0</v>
      </c>
      <c r="J36" s="14">
        <v>4</v>
      </c>
      <c r="K36" s="14">
        <f>(K35-I36)</f>
      </c>
      <c r="L36" s="15">
        <f>(C36/K36*100)</f>
      </c>
      <c r="M36" s="1"/>
    </row>
    <row x14ac:dyDescent="0.25" r="37" customHeight="1" ht="18.75">
      <c r="A37" s="1" t="s">
        <v>78</v>
      </c>
      <c r="B37" s="3"/>
      <c r="C37" s="14">
        <v>1687</v>
      </c>
      <c r="D37" s="14">
        <v>56</v>
      </c>
      <c r="E37" s="14">
        <v>1</v>
      </c>
      <c r="F37" s="3"/>
      <c r="G37" s="14">
        <v>279</v>
      </c>
      <c r="H37" s="14">
        <v>6</v>
      </c>
      <c r="I37" s="14">
        <v>1</v>
      </c>
      <c r="J37" s="14">
        <v>4</v>
      </c>
      <c r="K37" s="14">
        <f>(K36-I37)</f>
      </c>
      <c r="L37" s="15">
        <f>(C37/K37*100)</f>
      </c>
      <c r="M37" s="1"/>
    </row>
    <row x14ac:dyDescent="0.25" r="38" customHeight="1" ht="18.75">
      <c r="A38" s="1" t="s">
        <v>35</v>
      </c>
      <c r="B38" s="3"/>
      <c r="C38" s="14">
        <v>1684</v>
      </c>
      <c r="D38" s="14">
        <v>56</v>
      </c>
      <c r="E38" s="14">
        <v>2</v>
      </c>
      <c r="F38" s="14">
        <v>1</v>
      </c>
      <c r="G38" s="14">
        <v>334</v>
      </c>
      <c r="H38" s="14">
        <v>2</v>
      </c>
      <c r="I38" s="14">
        <v>0</v>
      </c>
      <c r="J38" s="14">
        <v>4</v>
      </c>
      <c r="K38" s="14">
        <f>(K37-I38)</f>
      </c>
      <c r="L38" s="15">
        <f>(C38/K38*100)</f>
      </c>
      <c r="M38" s="1"/>
    </row>
    <row x14ac:dyDescent="0.25" r="39" customHeight="1" ht="18.75">
      <c r="A39" s="1" t="s">
        <v>37</v>
      </c>
      <c r="B39" s="14">
        <v>23</v>
      </c>
      <c r="C39" s="14">
        <v>1717</v>
      </c>
      <c r="D39" s="14">
        <v>57</v>
      </c>
      <c r="E39" s="14">
        <v>2</v>
      </c>
      <c r="F39" s="14">
        <v>1</v>
      </c>
      <c r="G39" s="14">
        <v>390</v>
      </c>
      <c r="H39" s="14">
        <v>5</v>
      </c>
      <c r="I39" s="14">
        <v>0</v>
      </c>
      <c r="J39" s="14">
        <v>4</v>
      </c>
      <c r="K39" s="14">
        <f>(K38-I39)</f>
      </c>
      <c r="L39" s="15">
        <f>(C39/K39*100)</f>
      </c>
      <c r="M39" s="1"/>
    </row>
    <row x14ac:dyDescent="0.25" r="40" customHeight="1" ht="18.75">
      <c r="A40" s="1" t="s">
        <v>39</v>
      </c>
      <c r="B40" s="3"/>
      <c r="C40" s="14">
        <v>1761</v>
      </c>
      <c r="D40" s="14">
        <v>58</v>
      </c>
      <c r="E40" s="14">
        <v>3</v>
      </c>
      <c r="F40" s="14">
        <v>119</v>
      </c>
      <c r="G40" s="16">
        <v>328</v>
      </c>
      <c r="H40" s="14">
        <v>18</v>
      </c>
      <c r="I40" s="14">
        <v>1</v>
      </c>
      <c r="J40" s="14">
        <v>4</v>
      </c>
      <c r="K40" s="14">
        <f>(K39-I40)</f>
      </c>
      <c r="L40" s="15">
        <f>(C40/K40*100)</f>
      </c>
      <c r="M40" s="1"/>
    </row>
    <row x14ac:dyDescent="0.25" r="41" customHeight="1" ht="18.75">
      <c r="A41" s="1" t="s">
        <v>44</v>
      </c>
      <c r="B41" s="3"/>
      <c r="C41" s="14">
        <v>1721</v>
      </c>
      <c r="D41" s="14">
        <v>57</v>
      </c>
      <c r="E41" s="14">
        <v>1</v>
      </c>
      <c r="F41" s="14">
        <v>153</v>
      </c>
      <c r="G41" s="14">
        <v>235</v>
      </c>
      <c r="H41" s="14">
        <v>10</v>
      </c>
      <c r="I41" s="14">
        <v>0</v>
      </c>
      <c r="J41" s="14">
        <v>4</v>
      </c>
      <c r="K41" s="14">
        <f>(K40-I41)</f>
      </c>
      <c r="L41" s="15">
        <f>(C41/K41*100)</f>
      </c>
      <c r="M41" s="1"/>
    </row>
    <row x14ac:dyDescent="0.25" r="42" customHeight="1" ht="18.75">
      <c r="A42" s="1" t="s">
        <v>46</v>
      </c>
      <c r="B42" s="3"/>
      <c r="C42" s="14">
        <v>1735</v>
      </c>
      <c r="D42" s="14">
        <v>57</v>
      </c>
      <c r="E42" s="14">
        <v>3</v>
      </c>
      <c r="F42" s="14">
        <v>110</v>
      </c>
      <c r="G42" s="14">
        <v>182</v>
      </c>
      <c r="H42" s="14">
        <v>22</v>
      </c>
      <c r="I42" s="14">
        <v>0</v>
      </c>
      <c r="J42" s="14">
        <v>4</v>
      </c>
      <c r="K42" s="14">
        <f>(K41-I42)</f>
      </c>
      <c r="L42" s="15">
        <f>(C42/K42*100)</f>
      </c>
      <c r="M42" s="1"/>
    </row>
    <row x14ac:dyDescent="0.25" r="43" customHeight="1" ht="18.75">
      <c r="A43" s="1" t="s">
        <v>48</v>
      </c>
      <c r="B43" s="3"/>
      <c r="C43" s="14">
        <v>1724</v>
      </c>
      <c r="D43" s="14">
        <v>57</v>
      </c>
      <c r="E43" s="14">
        <v>2</v>
      </c>
      <c r="F43" s="14">
        <v>1</v>
      </c>
      <c r="G43" s="14">
        <v>238</v>
      </c>
      <c r="H43" s="14">
        <v>12</v>
      </c>
      <c r="I43" s="14">
        <v>0</v>
      </c>
      <c r="J43" s="14">
        <v>4</v>
      </c>
      <c r="K43" s="14">
        <f>(K42-I43)</f>
      </c>
      <c r="L43" s="15">
        <f>(C43/K43*100)</f>
      </c>
      <c r="M43" s="1"/>
    </row>
    <row x14ac:dyDescent="0.25" r="44" customHeight="1" ht="18.75">
      <c r="A44" s="1" t="s">
        <v>49</v>
      </c>
      <c r="B44" s="3"/>
      <c r="C44" s="14">
        <v>1731</v>
      </c>
      <c r="D44" s="14" t="s">
        <v>79</v>
      </c>
      <c r="E44" s="14">
        <v>1</v>
      </c>
      <c r="F44" s="14">
        <v>6</v>
      </c>
      <c r="G44" s="14">
        <v>259</v>
      </c>
      <c r="H44" s="16">
        <v>20</v>
      </c>
      <c r="I44" s="14">
        <v>0</v>
      </c>
      <c r="J44" s="14">
        <v>4</v>
      </c>
      <c r="K44" s="14">
        <f>(K43-I44)</f>
      </c>
      <c r="L44" s="15">
        <f>(C44/K44*100)</f>
      </c>
      <c r="M44" s="1"/>
    </row>
    <row x14ac:dyDescent="0.25" r="45" customHeight="1" ht="18.75">
      <c r="A45" s="1" t="s">
        <v>50</v>
      </c>
      <c r="B45" s="3"/>
      <c r="C45" s="14">
        <v>1730</v>
      </c>
      <c r="D45" s="14">
        <v>57</v>
      </c>
      <c r="E45" s="14">
        <v>3</v>
      </c>
      <c r="F45" s="14">
        <v>100</v>
      </c>
      <c r="G45" s="14">
        <v>246</v>
      </c>
      <c r="H45" s="14">
        <v>17</v>
      </c>
      <c r="I45" s="14">
        <v>0</v>
      </c>
      <c r="J45" s="14">
        <v>4</v>
      </c>
      <c r="K45" s="14">
        <f>(K44-I45)</f>
      </c>
      <c r="L45" s="15">
        <f>(C45/K45*100)</f>
      </c>
      <c r="M45" s="1"/>
    </row>
    <row x14ac:dyDescent="0.25" r="46" customHeight="1" ht="18.75">
      <c r="A46" s="1"/>
      <c r="B46" s="14">
        <v>24</v>
      </c>
      <c r="C46" s="3"/>
      <c r="D46" s="3"/>
      <c r="E46" s="3"/>
      <c r="F46" s="3"/>
      <c r="G46" s="3"/>
      <c r="H46" s="3"/>
      <c r="I46" s="3"/>
      <c r="J46" s="14">
        <v>4</v>
      </c>
      <c r="K46" s="14">
        <f>(K45-I46)</f>
      </c>
      <c r="L46" s="15">
        <f>(C46/K46*100)</f>
      </c>
      <c r="M46" s="1"/>
    </row>
    <row x14ac:dyDescent="0.25" r="47" customHeight="1" ht="18.75">
      <c r="A47" s="1"/>
      <c r="B47" s="3"/>
      <c r="C47" s="3"/>
      <c r="D47" s="3"/>
      <c r="E47" s="3"/>
      <c r="F47" s="3"/>
      <c r="G47" s="3"/>
      <c r="H47" s="3"/>
      <c r="I47" s="3"/>
      <c r="J47" s="3"/>
      <c r="K47" s="14">
        <f>(K46-I47)</f>
      </c>
      <c r="L47" s="15">
        <f>(C47/K47*100)</f>
      </c>
      <c r="M47" s="1"/>
    </row>
    <row x14ac:dyDescent="0.25" r="48" customHeight="1" ht="18.75">
      <c r="A48" s="1"/>
      <c r="B48" s="3"/>
      <c r="C48" s="3"/>
      <c r="D48" s="3"/>
      <c r="E48" s="3"/>
      <c r="F48" s="3"/>
      <c r="G48" s="3"/>
      <c r="H48" s="3"/>
      <c r="I48" s="3"/>
      <c r="J48" s="3"/>
      <c r="K48" s="14">
        <f>(K47-I48)</f>
      </c>
      <c r="L48" s="15">
        <f>(C48/K48*100)</f>
      </c>
      <c r="M48" s="1"/>
    </row>
    <row x14ac:dyDescent="0.25" r="49" customHeight="1" ht="18.75">
      <c r="A49" s="1"/>
      <c r="B49" s="3"/>
      <c r="C49" s="3"/>
      <c r="D49" s="3"/>
      <c r="E49" s="3"/>
      <c r="F49" s="3"/>
      <c r="G49" s="3"/>
      <c r="H49" s="3"/>
      <c r="I49" s="3"/>
      <c r="J49" s="3"/>
      <c r="K49" s="14">
        <f>(K48-I49)</f>
      </c>
      <c r="L49" s="15">
        <f>(C49/K49*100)</f>
      </c>
      <c r="M49" s="1"/>
    </row>
    <row x14ac:dyDescent="0.25" r="50" customHeight="1" ht="18.75">
      <c r="A50" s="1"/>
      <c r="B50" s="3"/>
      <c r="C50" s="3"/>
      <c r="D50" s="3"/>
      <c r="E50" s="3"/>
      <c r="F50" s="3"/>
      <c r="G50" s="3"/>
      <c r="H50" s="3"/>
      <c r="I50" s="3"/>
      <c r="J50" s="3"/>
      <c r="K50" s="14">
        <f>(K49-I50)</f>
      </c>
      <c r="L50" s="15">
        <f>(C50/K50*100)</f>
      </c>
      <c r="M50" s="1"/>
    </row>
    <row x14ac:dyDescent="0.25" r="51" customHeight="1" ht="18.75">
      <c r="A51" s="1"/>
      <c r="B51" s="3"/>
      <c r="C51" s="3"/>
      <c r="D51" s="3"/>
      <c r="E51" s="3"/>
      <c r="F51" s="3"/>
      <c r="G51" s="3"/>
      <c r="H51" s="3"/>
      <c r="I51" s="3"/>
      <c r="J51" s="3"/>
      <c r="K51" s="14">
        <f>(K50-I51)</f>
      </c>
      <c r="L51" s="15">
        <f>(C51/K51*100)</f>
      </c>
      <c r="M51" s="1"/>
    </row>
    <row x14ac:dyDescent="0.25" r="52" customHeight="1" ht="18.75">
      <c r="A52" s="1"/>
      <c r="B52" s="3"/>
      <c r="C52" s="3"/>
      <c r="D52" s="3"/>
      <c r="E52" s="3"/>
      <c r="F52" s="3"/>
      <c r="G52" s="3"/>
      <c r="H52" s="3"/>
      <c r="I52" s="3"/>
      <c r="J52" s="3"/>
      <c r="K52" s="14">
        <f>(K51-I52)</f>
      </c>
      <c r="L52" s="15">
        <f>(C52/K52*100)</f>
      </c>
      <c r="M52" s="1"/>
    </row>
    <row x14ac:dyDescent="0.25" r="53" customHeight="1" ht="18.75">
      <c r="A53" s="1"/>
      <c r="B53" s="3"/>
      <c r="C53" s="3"/>
      <c r="D53" s="3"/>
      <c r="E53" s="3"/>
      <c r="F53" s="3"/>
      <c r="G53" s="3"/>
      <c r="H53" s="3"/>
      <c r="I53" s="3"/>
      <c r="J53" s="3"/>
      <c r="K53" s="14">
        <f>(K52-I53)</f>
      </c>
      <c r="L53" s="15">
        <f>(C53/K53*100)</f>
      </c>
      <c r="M53" s="1"/>
    </row>
    <row x14ac:dyDescent="0.25" r="54" customHeight="1" ht="18.75">
      <c r="A54" s="1"/>
      <c r="B54" s="3"/>
      <c r="C54" s="3"/>
      <c r="D54" s="3"/>
      <c r="E54" s="3"/>
      <c r="F54" s="3"/>
      <c r="G54" s="3"/>
      <c r="H54" s="3"/>
      <c r="I54" s="3"/>
      <c r="J54" s="3"/>
      <c r="K54" s="14">
        <f>(K53-I54)</f>
      </c>
      <c r="L54" s="15">
        <f>(C54/K54*100)</f>
      </c>
      <c r="M54" s="1"/>
    </row>
    <row x14ac:dyDescent="0.25" r="55" customHeight="1" ht="18.75">
      <c r="A55" s="1"/>
      <c r="B55" s="3"/>
      <c r="C55" s="3"/>
      <c r="D55" s="3"/>
      <c r="E55" s="3"/>
      <c r="F55" s="3"/>
      <c r="G55" s="3"/>
      <c r="H55" s="3"/>
      <c r="I55" s="3"/>
      <c r="J55" s="3"/>
      <c r="K55" s="14">
        <f>(K54-I55)</f>
      </c>
      <c r="L55" s="15">
        <f>(C55/K55*100)</f>
      </c>
      <c r="M55" s="1"/>
    </row>
    <row x14ac:dyDescent="0.25" r="56" customHeight="1" ht="18.75">
      <c r="A56" s="1"/>
      <c r="B56" s="3"/>
      <c r="C56" s="3"/>
      <c r="D56" s="3"/>
      <c r="E56" s="3"/>
      <c r="F56" s="3"/>
      <c r="G56" s="3"/>
      <c r="H56" s="3"/>
      <c r="I56" s="3"/>
      <c r="J56" s="3"/>
      <c r="K56" s="14">
        <f>(K55-I56)</f>
      </c>
      <c r="L56" s="15">
        <f>(C56/K56*100)</f>
      </c>
      <c r="M56" s="1"/>
    </row>
    <row x14ac:dyDescent="0.25" r="57" customHeight="1" ht="18.75">
      <c r="A57" s="1"/>
      <c r="B57" s="3"/>
      <c r="C57" s="3"/>
      <c r="D57" s="3"/>
      <c r="E57" s="3"/>
      <c r="F57" s="3"/>
      <c r="G57" s="3"/>
      <c r="H57" s="3"/>
      <c r="I57" s="3"/>
      <c r="J57" s="3"/>
      <c r="K57" s="14">
        <f>(K56-I57)</f>
      </c>
      <c r="L57" s="15">
        <f>(C57/K57*100)</f>
      </c>
      <c r="M57" s="1"/>
    </row>
    <row x14ac:dyDescent="0.25" r="58" customHeight="1" ht="18.75">
      <c r="A58" s="1"/>
      <c r="B58" s="3"/>
      <c r="C58" s="3"/>
      <c r="D58" s="3"/>
      <c r="E58" s="3"/>
      <c r="F58" s="3"/>
      <c r="G58" s="3"/>
      <c r="H58" s="3"/>
      <c r="I58" s="3"/>
      <c r="J58" s="3"/>
      <c r="K58" s="14">
        <f>(K57-I58)</f>
      </c>
      <c r="L58" s="15">
        <f>(C58/K58*100)</f>
      </c>
      <c r="M58" s="1"/>
    </row>
    <row x14ac:dyDescent="0.25" r="59" customHeight="1" ht="18.75">
      <c r="A59" s="1"/>
      <c r="B59" s="3"/>
      <c r="C59" s="3"/>
      <c r="D59" s="3"/>
      <c r="E59" s="3"/>
      <c r="F59" s="3"/>
      <c r="G59" s="3"/>
      <c r="H59" s="3"/>
      <c r="I59" s="3"/>
      <c r="J59" s="3"/>
      <c r="K59" s="14">
        <f>(K58-I59)</f>
      </c>
      <c r="L59" s="15">
        <f>(C59/K59*100)</f>
      </c>
      <c r="M59" s="1"/>
    </row>
    <row x14ac:dyDescent="0.25" r="60" customHeight="1" ht="18.75">
      <c r="A60" s="1"/>
      <c r="B60" s="3"/>
      <c r="C60" s="3"/>
      <c r="D60" s="3"/>
      <c r="E60" s="3"/>
      <c r="F60" s="3"/>
      <c r="G60" s="3"/>
      <c r="H60" s="3"/>
      <c r="I60" s="3"/>
      <c r="J60" s="3"/>
      <c r="K60" s="14">
        <f>(K59-I60)</f>
      </c>
      <c r="L60" s="15">
        <f>(C60/K60*100)</f>
      </c>
      <c r="M60" s="1"/>
    </row>
    <row x14ac:dyDescent="0.25" r="61" customHeight="1" ht="18.75">
      <c r="A61" s="1"/>
      <c r="B61" s="3"/>
      <c r="C61" s="3"/>
      <c r="D61" s="3"/>
      <c r="E61" s="3"/>
      <c r="F61" s="3"/>
      <c r="G61" s="3"/>
      <c r="H61" s="3"/>
      <c r="I61" s="3"/>
      <c r="J61" s="3"/>
      <c r="K61" s="14">
        <f>(K60-I61)</f>
      </c>
      <c r="L61" s="15">
        <f>(C61/K61*100)</f>
      </c>
      <c r="M61" s="1"/>
    </row>
    <row x14ac:dyDescent="0.25" r="62" customHeight="1" ht="18.75">
      <c r="A62" s="1"/>
      <c r="B62" s="3"/>
      <c r="C62" s="3"/>
      <c r="D62" s="3"/>
      <c r="E62" s="3"/>
      <c r="F62" s="3"/>
      <c r="G62" s="3"/>
      <c r="H62" s="3"/>
      <c r="I62" s="3"/>
      <c r="J62" s="3"/>
      <c r="K62" s="14">
        <f>(K61-I62)</f>
      </c>
      <c r="L62" s="15">
        <f>(C62/K62*100)</f>
      </c>
      <c r="M62" s="1"/>
    </row>
    <row x14ac:dyDescent="0.25" r="63" customHeight="1" ht="18.75">
      <c r="A63" s="1"/>
      <c r="B63" s="3"/>
      <c r="C63" s="3"/>
      <c r="D63" s="3"/>
      <c r="E63" s="3"/>
      <c r="F63" s="3"/>
      <c r="G63" s="3"/>
      <c r="H63" s="3"/>
      <c r="I63" s="3"/>
      <c r="J63" s="3"/>
      <c r="K63" s="14">
        <f>(K62-I63)</f>
      </c>
      <c r="L63" s="15">
        <f>(C63/K63*100)</f>
      </c>
      <c r="M63" s="1"/>
    </row>
    <row x14ac:dyDescent="0.25" r="64" customHeight="1" ht="18.75">
      <c r="A64" s="1"/>
      <c r="B64" s="3"/>
      <c r="C64" s="3"/>
      <c r="D64" s="3"/>
      <c r="E64" s="3"/>
      <c r="F64" s="3"/>
      <c r="G64" s="3"/>
      <c r="H64" s="3"/>
      <c r="I64" s="3"/>
      <c r="J64" s="3"/>
      <c r="K64" s="14">
        <f>(K63-I64)</f>
      </c>
      <c r="L64" s="15">
        <f>(C64/K64*100)</f>
      </c>
      <c r="M64" s="1"/>
    </row>
    <row x14ac:dyDescent="0.25" r="65" customHeight="1" ht="18.75">
      <c r="A65" s="1"/>
      <c r="B65" s="3"/>
      <c r="C65" s="3"/>
      <c r="D65" s="3"/>
      <c r="E65" s="3"/>
      <c r="F65" s="3"/>
      <c r="G65" s="3"/>
      <c r="H65" s="3"/>
      <c r="I65" s="3"/>
      <c r="J65" s="3"/>
      <c r="K65" s="14">
        <f>(K64-I65)</f>
      </c>
      <c r="L65" s="15">
        <f>(C65/K65*100)</f>
      </c>
      <c r="M65" s="1"/>
    </row>
    <row x14ac:dyDescent="0.25" r="66" customHeight="1" ht="18.75">
      <c r="A66" s="1"/>
      <c r="B66" s="3"/>
      <c r="C66" s="3"/>
      <c r="D66" s="3"/>
      <c r="E66" s="3"/>
      <c r="F66" s="3"/>
      <c r="G66" s="3"/>
      <c r="H66" s="3"/>
      <c r="I66" s="3"/>
      <c r="J66" s="3"/>
      <c r="K66" s="14">
        <f>(K65-I66)</f>
      </c>
      <c r="L66" s="15">
        <f>(C66/K66*100)</f>
      </c>
      <c r="M66" s="1"/>
    </row>
    <row x14ac:dyDescent="0.25" r="67" customHeight="1" ht="18.75">
      <c r="A67" s="1"/>
      <c r="B67" s="3"/>
      <c r="C67" s="3"/>
      <c r="D67" s="3"/>
      <c r="E67" s="3"/>
      <c r="F67" s="3"/>
      <c r="G67" s="3"/>
      <c r="H67" s="3"/>
      <c r="I67" s="3"/>
      <c r="J67" s="3"/>
      <c r="K67" s="14">
        <f>(K66-I67)</f>
      </c>
      <c r="L67" s="15">
        <f>(C67/K67*100)</f>
      </c>
      <c r="M67" s="1"/>
    </row>
    <row x14ac:dyDescent="0.25" r="68" customHeight="1" ht="18.75">
      <c r="A68" s="1"/>
      <c r="B68" s="3"/>
      <c r="C68" s="3"/>
      <c r="D68" s="3"/>
      <c r="E68" s="3"/>
      <c r="F68" s="3"/>
      <c r="G68" s="3"/>
      <c r="H68" s="3"/>
      <c r="I68" s="3"/>
      <c r="J68" s="3"/>
      <c r="K68" s="14">
        <f>(K67-I68)</f>
      </c>
      <c r="L68" s="13"/>
      <c r="M68" s="1"/>
    </row>
    <row x14ac:dyDescent="0.25" r="69" customHeight="1" ht="18.75">
      <c r="A69" s="1"/>
      <c r="B69" s="3"/>
      <c r="C69" s="3"/>
      <c r="D69" s="3"/>
      <c r="E69" s="3"/>
      <c r="F69" s="3"/>
      <c r="G69" s="3"/>
      <c r="H69" s="3"/>
      <c r="I69" s="3"/>
      <c r="J69" s="3"/>
      <c r="K69" s="14">
        <f>(K68-I69)</f>
      </c>
      <c r="L69" s="13"/>
      <c r="M69" s="1"/>
    </row>
    <row x14ac:dyDescent="0.25" r="70" customHeight="1" ht="18.75">
      <c r="A70" s="1"/>
      <c r="B70" s="3"/>
      <c r="C70" s="3"/>
      <c r="D70" s="3"/>
      <c r="E70" s="3"/>
      <c r="F70" s="3"/>
      <c r="G70" s="3"/>
      <c r="H70" s="3"/>
      <c r="I70" s="3"/>
      <c r="J70" s="3"/>
      <c r="K70" s="14">
        <f>(K69-I70)</f>
      </c>
      <c r="L70" s="13"/>
      <c r="M70" s="1"/>
    </row>
    <row x14ac:dyDescent="0.25" r="71" customHeight="1" ht="18.75">
      <c r="A71" s="1"/>
      <c r="B71" s="3"/>
      <c r="C71" s="3"/>
      <c r="D71" s="3"/>
      <c r="E71" s="3"/>
      <c r="F71" s="3"/>
      <c r="G71" s="3"/>
      <c r="H71" s="3"/>
      <c r="I71" s="3"/>
      <c r="J71" s="3"/>
      <c r="K71" s="14">
        <f>(K70-I71)</f>
      </c>
      <c r="L71" s="13"/>
      <c r="M71" s="1"/>
    </row>
    <row x14ac:dyDescent="0.25" r="72" customHeight="1" ht="18.75">
      <c r="A72" s="1"/>
      <c r="B72" s="3"/>
      <c r="C72" s="3"/>
      <c r="D72" s="3"/>
      <c r="E72" s="3"/>
      <c r="F72" s="3"/>
      <c r="G72" s="3"/>
      <c r="H72" s="3"/>
      <c r="I72" s="3"/>
      <c r="J72" s="3"/>
      <c r="K72" s="14">
        <f>(K71-I72)</f>
      </c>
      <c r="L72" s="13"/>
      <c r="M72" s="1"/>
    </row>
    <row x14ac:dyDescent="0.25" r="73" customHeight="1" ht="18.75">
      <c r="A73" s="1"/>
      <c r="B73" s="3"/>
      <c r="C73" s="3"/>
      <c r="D73" s="3"/>
      <c r="E73" s="3"/>
      <c r="F73" s="3"/>
      <c r="G73" s="3"/>
      <c r="H73" s="3"/>
      <c r="I73" s="3"/>
      <c r="J73" s="3"/>
      <c r="K73" s="14">
        <f>(K72-I73)</f>
      </c>
      <c r="L73" s="13"/>
      <c r="M73" s="1"/>
    </row>
    <row x14ac:dyDescent="0.25" r="74" customHeight="1" ht="18.75">
      <c r="A74" s="1"/>
      <c r="B74" s="3"/>
      <c r="C74" s="3"/>
      <c r="D74" s="3"/>
      <c r="E74" s="3"/>
      <c r="F74" s="3"/>
      <c r="G74" s="3"/>
      <c r="H74" s="3"/>
      <c r="I74" s="3"/>
      <c r="J74" s="3"/>
      <c r="K74" s="14">
        <f>(K73-I74)</f>
      </c>
      <c r="L74" s="13"/>
      <c r="M74" s="1"/>
    </row>
    <row x14ac:dyDescent="0.25" r="75" customHeight="1" ht="18.75">
      <c r="A75" s="1"/>
      <c r="B75" s="3"/>
      <c r="C75" s="3"/>
      <c r="D75" s="3"/>
      <c r="E75" s="3"/>
      <c r="F75" s="3"/>
      <c r="G75" s="3"/>
      <c r="H75" s="3"/>
      <c r="I75" s="3"/>
      <c r="J75" s="3"/>
      <c r="K75" s="14">
        <f>(K74-I75)</f>
      </c>
      <c r="L75" s="13"/>
      <c r="M75" s="1"/>
    </row>
    <row x14ac:dyDescent="0.25" r="76" customHeight="1" ht="18.75">
      <c r="A76" s="1"/>
      <c r="B76" s="3"/>
      <c r="C76" s="3"/>
      <c r="D76" s="3"/>
      <c r="E76" s="3"/>
      <c r="F76" s="3"/>
      <c r="G76" s="3"/>
      <c r="H76" s="3"/>
      <c r="I76" s="3"/>
      <c r="J76" s="3"/>
      <c r="K76" s="14">
        <f>(K75-I76)</f>
      </c>
      <c r="L76" s="13"/>
      <c r="M76" s="1"/>
    </row>
    <row x14ac:dyDescent="0.25" r="77" customHeight="1" ht="18.75">
      <c r="A77" s="1"/>
      <c r="B77" s="3"/>
      <c r="C77" s="3"/>
      <c r="D77" s="3"/>
      <c r="E77" s="3"/>
      <c r="F77" s="3"/>
      <c r="G77" s="3"/>
      <c r="H77" s="3"/>
      <c r="I77" s="3"/>
      <c r="J77" s="3"/>
      <c r="K77" s="14">
        <f>(K76-I77)</f>
      </c>
      <c r="L77" s="13"/>
      <c r="M77" s="1"/>
    </row>
    <row x14ac:dyDescent="0.25" r="78" customHeight="1" ht="18.75">
      <c r="A78" s="1"/>
      <c r="B78" s="3"/>
      <c r="C78" s="3"/>
      <c r="D78" s="3"/>
      <c r="E78" s="3"/>
      <c r="F78" s="3"/>
      <c r="G78" s="3"/>
      <c r="H78" s="3"/>
      <c r="I78" s="3"/>
      <c r="J78" s="3"/>
      <c r="K78" s="14">
        <f>(K77-I78)</f>
      </c>
      <c r="L78" s="13"/>
      <c r="M78" s="1"/>
    </row>
    <row x14ac:dyDescent="0.25" r="79" customHeight="1" ht="18.75">
      <c r="A79" s="1"/>
      <c r="B79" s="3"/>
      <c r="C79" s="3"/>
      <c r="D79" s="3"/>
      <c r="E79" s="3"/>
      <c r="F79" s="3"/>
      <c r="G79" s="3"/>
      <c r="H79" s="3"/>
      <c r="I79" s="3"/>
      <c r="J79" s="3"/>
      <c r="K79" s="14">
        <f>(K78-I79)</f>
      </c>
      <c r="L79" s="13"/>
      <c r="M79" s="1"/>
    </row>
    <row x14ac:dyDescent="0.25" r="80" customHeight="1" ht="18.75">
      <c r="A80" s="1"/>
      <c r="B80" s="3"/>
      <c r="C80" s="3"/>
      <c r="D80" s="3"/>
      <c r="E80" s="3"/>
      <c r="F80" s="3"/>
      <c r="G80" s="3"/>
      <c r="H80" s="3"/>
      <c r="I80" s="3"/>
      <c r="J80" s="3"/>
      <c r="K80" s="14">
        <f>(K79-I80)</f>
      </c>
      <c r="L80" s="13"/>
      <c r="M80" s="1"/>
    </row>
    <row x14ac:dyDescent="0.25" r="81" customHeight="1" ht="18.75">
      <c r="A81" s="1"/>
      <c r="B81" s="3"/>
      <c r="C81" s="3"/>
      <c r="D81" s="3"/>
      <c r="E81" s="3"/>
      <c r="F81" s="3"/>
      <c r="G81" s="3"/>
      <c r="H81" s="3"/>
      <c r="I81" s="3"/>
      <c r="J81" s="3"/>
      <c r="K81" s="14">
        <f>(K80-I81)</f>
      </c>
      <c r="L81" s="13"/>
      <c r="M81" s="1"/>
    </row>
    <row x14ac:dyDescent="0.25" r="82" customHeight="1" ht="18.75">
      <c r="A82" s="1"/>
      <c r="B82" s="3"/>
      <c r="C82" s="3"/>
      <c r="D82" s="3"/>
      <c r="E82" s="3"/>
      <c r="F82" s="3"/>
      <c r="G82" s="3"/>
      <c r="H82" s="3"/>
      <c r="I82" s="3"/>
      <c r="J82" s="3"/>
      <c r="K82" s="14">
        <f>(K81-I82)</f>
      </c>
      <c r="L82" s="13"/>
      <c r="M82" s="1"/>
    </row>
    <row x14ac:dyDescent="0.25" r="83" customHeight="1" ht="18.75">
      <c r="A83" s="1"/>
      <c r="B83" s="3"/>
      <c r="C83" s="3"/>
      <c r="D83" s="3"/>
      <c r="E83" s="3"/>
      <c r="F83" s="3"/>
      <c r="G83" s="3"/>
      <c r="H83" s="3"/>
      <c r="I83" s="3"/>
      <c r="J83" s="3"/>
      <c r="K83" s="14">
        <f>(K82-I83)</f>
      </c>
      <c r="L83" s="13"/>
      <c r="M83" s="1"/>
    </row>
    <row x14ac:dyDescent="0.25" r="84" customHeight="1" ht="18.75">
      <c r="A84" s="1"/>
      <c r="B84" s="3"/>
      <c r="C84" s="3"/>
      <c r="D84" s="3"/>
      <c r="E84" s="3"/>
      <c r="F84" s="3"/>
      <c r="G84" s="3"/>
      <c r="H84" s="3"/>
      <c r="I84" s="3"/>
      <c r="J84" s="3"/>
      <c r="K84" s="14">
        <f>(K100-I101)</f>
      </c>
      <c r="L84" s="13"/>
      <c r="M84" s="1"/>
    </row>
    <row x14ac:dyDescent="0.25" r="85" customHeight="1" ht="18.75">
      <c r="A85" s="1"/>
      <c r="B85" s="3"/>
      <c r="C85" s="3"/>
      <c r="D85" s="3"/>
      <c r="E85" s="3"/>
      <c r="F85" s="3"/>
      <c r="G85" s="3"/>
      <c r="H85" s="3"/>
      <c r="I85" s="3"/>
      <c r="J85" s="3"/>
      <c r="K85" s="14">
        <f>(K101-I102)</f>
      </c>
      <c r="L85" s="13"/>
      <c r="M85" s="1"/>
    </row>
    <row x14ac:dyDescent="0.25" r="86" customHeight="1" ht="18.75">
      <c r="A86" s="1"/>
      <c r="B86" s="3"/>
      <c r="C86" s="3"/>
      <c r="D86" s="3"/>
      <c r="E86" s="3"/>
      <c r="F86" s="3"/>
      <c r="G86" s="3"/>
      <c r="H86" s="3"/>
      <c r="I86" s="3"/>
      <c r="J86" s="3"/>
      <c r="K86" s="14">
        <f>(K102-I103)</f>
      </c>
      <c r="L86" s="13"/>
      <c r="M86" s="1"/>
    </row>
    <row x14ac:dyDescent="0.25" r="87" customHeight="1" ht="18.75">
      <c r="A87" s="1"/>
      <c r="B87" s="3"/>
      <c r="C87" s="3"/>
      <c r="D87" s="3"/>
      <c r="E87" s="3"/>
      <c r="F87" s="3"/>
      <c r="G87" s="3"/>
      <c r="H87" s="3"/>
      <c r="I87" s="3"/>
      <c r="J87" s="3"/>
      <c r="K87" s="14">
        <f>(K103-I104)</f>
      </c>
      <c r="L87" s="13"/>
      <c r="M87" s="1"/>
    </row>
    <row x14ac:dyDescent="0.25" r="88" customHeight="1" ht="18.75">
      <c r="A88" s="1"/>
      <c r="B88" s="3"/>
      <c r="C88" s="3"/>
      <c r="D88" s="3"/>
      <c r="E88" s="3"/>
      <c r="F88" s="3"/>
      <c r="G88" s="3"/>
      <c r="H88" s="3"/>
      <c r="I88" s="3"/>
      <c r="J88" s="3"/>
      <c r="K88" s="14">
        <f>(K104-I105)</f>
      </c>
      <c r="L88" s="13"/>
      <c r="M88" s="1"/>
    </row>
    <row x14ac:dyDescent="0.25" r="89" customHeight="1" ht="18.75">
      <c r="A89" s="1"/>
      <c r="B89" s="3"/>
      <c r="C89" s="3"/>
      <c r="D89" s="3"/>
      <c r="E89" s="3"/>
      <c r="F89" s="3"/>
      <c r="G89" s="3"/>
      <c r="H89" s="3"/>
      <c r="I89" s="3"/>
      <c r="J89" s="3"/>
      <c r="K89" s="14">
        <f>(K105-I106)</f>
      </c>
      <c r="L89" s="13"/>
      <c r="M89" s="1"/>
    </row>
    <row x14ac:dyDescent="0.25" r="90" customHeight="1" ht="18.75">
      <c r="A90" s="1"/>
      <c r="B90" s="3"/>
      <c r="C90" s="3"/>
      <c r="D90" s="3"/>
      <c r="E90" s="3"/>
      <c r="F90" s="3"/>
      <c r="G90" s="3"/>
      <c r="H90" s="3"/>
      <c r="I90" s="3"/>
      <c r="J90" s="3"/>
      <c r="K90" s="14">
        <f>(K106-I107)</f>
      </c>
      <c r="L90" s="13"/>
      <c r="M90" s="1"/>
    </row>
    <row x14ac:dyDescent="0.25" r="91" customHeight="1" ht="18.75">
      <c r="A91" s="1"/>
      <c r="B91" s="3"/>
      <c r="C91" s="3"/>
      <c r="D91" s="3"/>
      <c r="E91" s="3"/>
      <c r="F91" s="3"/>
      <c r="G91" s="3"/>
      <c r="H91" s="3"/>
      <c r="I91" s="3"/>
      <c r="J91" s="3"/>
      <c r="K91" s="14">
        <f>(K107-I108)</f>
      </c>
      <c r="L91" s="13"/>
      <c r="M91" s="1"/>
    </row>
    <row x14ac:dyDescent="0.25" r="92" customHeight="1" ht="18.75">
      <c r="A92" s="1"/>
      <c r="B92" s="3"/>
      <c r="C92" s="3"/>
      <c r="D92" s="3"/>
      <c r="E92" s="3"/>
      <c r="F92" s="3"/>
      <c r="G92" s="3"/>
      <c r="H92" s="3"/>
      <c r="I92" s="3"/>
      <c r="J92" s="3"/>
      <c r="K92" s="14">
        <f>(K108-I109)</f>
      </c>
      <c r="L92" s="13"/>
      <c r="M92" s="1"/>
    </row>
    <row x14ac:dyDescent="0.25" r="93" customHeight="1" ht="18.75">
      <c r="A93" s="1"/>
      <c r="B93" s="3"/>
      <c r="C93" s="3"/>
      <c r="D93" s="3"/>
      <c r="E93" s="3"/>
      <c r="F93" s="3"/>
      <c r="G93" s="3"/>
      <c r="H93" s="3"/>
      <c r="I93" s="3"/>
      <c r="J93" s="3"/>
      <c r="K93" s="14">
        <f>(K109-I110)</f>
      </c>
      <c r="L93" s="13"/>
      <c r="M93" s="1"/>
    </row>
    <row x14ac:dyDescent="0.25" r="94" customHeight="1" ht="18.75">
      <c r="A94" s="1"/>
      <c r="B94" s="3"/>
      <c r="C94" s="3"/>
      <c r="D94" s="3"/>
      <c r="E94" s="3"/>
      <c r="F94" s="3"/>
      <c r="G94" s="3"/>
      <c r="H94" s="3"/>
      <c r="I94" s="3"/>
      <c r="J94" s="3"/>
      <c r="K94" s="14">
        <f>(K110-I111)</f>
      </c>
      <c r="L94" s="13"/>
      <c r="M94" s="1"/>
    </row>
    <row x14ac:dyDescent="0.25" r="95" customHeight="1" ht="18.75">
      <c r="A95" s="1"/>
      <c r="B95" s="3"/>
      <c r="C95" s="3"/>
      <c r="D95" s="3"/>
      <c r="E95" s="3"/>
      <c r="F95" s="3"/>
      <c r="G95" s="3"/>
      <c r="H95" s="3"/>
      <c r="I95" s="3"/>
      <c r="J95" s="3"/>
      <c r="K95" s="14">
        <f>(K111-I112)</f>
      </c>
      <c r="L95" s="13"/>
      <c r="M95" s="1"/>
    </row>
    <row x14ac:dyDescent="0.25" r="96" customHeight="1" ht="18.75">
      <c r="A96" s="1"/>
      <c r="B96" s="3"/>
      <c r="C96" s="3"/>
      <c r="D96" s="3"/>
      <c r="E96" s="3"/>
      <c r="F96" s="3"/>
      <c r="G96" s="3"/>
      <c r="H96" s="3"/>
      <c r="I96" s="3"/>
      <c r="J96" s="3"/>
      <c r="K96" s="14">
        <f>(K112-I113)</f>
      </c>
      <c r="L96" s="13"/>
      <c r="M96" s="1"/>
    </row>
    <row x14ac:dyDescent="0.25" r="97" customHeight="1" ht="18.75">
      <c r="A97" s="1"/>
      <c r="B97" s="3"/>
      <c r="C97" s="3"/>
      <c r="D97" s="3"/>
      <c r="E97" s="3"/>
      <c r="F97" s="3"/>
      <c r="G97" s="3"/>
      <c r="H97" s="3"/>
      <c r="I97" s="3"/>
      <c r="J97" s="3"/>
      <c r="K97" s="14">
        <f>(K113-I114)</f>
      </c>
      <c r="L97" s="13"/>
      <c r="M97" s="1"/>
    </row>
    <row x14ac:dyDescent="0.25" r="98" customHeight="1" ht="18.75">
      <c r="A98" s="1"/>
      <c r="B98" s="3"/>
      <c r="C98" s="3"/>
      <c r="D98" s="3"/>
      <c r="E98" s="3"/>
      <c r="F98" s="3"/>
      <c r="G98" s="3"/>
      <c r="H98" s="3"/>
      <c r="I98" s="3"/>
      <c r="J98" s="3"/>
      <c r="K98" s="14">
        <f>(K114-I115)</f>
      </c>
      <c r="L98" s="13"/>
      <c r="M98" s="1"/>
    </row>
    <row x14ac:dyDescent="0.25" r="99" customHeight="1" ht="18.75">
      <c r="A99" s="1"/>
      <c r="B99" s="3"/>
      <c r="C99" s="3"/>
      <c r="D99" s="3"/>
      <c r="E99" s="3"/>
      <c r="F99" s="3"/>
      <c r="G99" s="3"/>
      <c r="H99" s="3"/>
      <c r="I99" s="3"/>
      <c r="J99" s="3"/>
      <c r="K99" s="14">
        <f>(K115-I116)</f>
      </c>
      <c r="L99" s="13"/>
      <c r="M99" s="1"/>
    </row>
    <row x14ac:dyDescent="0.25" r="100" customHeight="1" ht="18.75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14">
        <f>(K116-I117)</f>
      </c>
      <c r="L100" s="13"/>
      <c r="M100" s="1"/>
    </row>
    <row x14ac:dyDescent="0.25" r="101" customHeight="1" ht="18.75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14">
        <f>(K117-I118)</f>
      </c>
      <c r="L101" s="13"/>
      <c r="M101" s="1"/>
    </row>
    <row x14ac:dyDescent="0.25" r="102" customHeight="1" ht="18.75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14">
        <f>(K118-I119)</f>
      </c>
      <c r="L102" s="13"/>
      <c r="M102" s="1"/>
    </row>
    <row x14ac:dyDescent="0.25" r="103" customHeight="1" ht="18.75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14">
        <f>(K119-I120)</f>
      </c>
      <c r="L103" s="13"/>
      <c r="M103" s="1"/>
    </row>
    <row x14ac:dyDescent="0.25" r="104" customHeight="1" ht="18.75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14">
        <f>(K120-I121)</f>
      </c>
      <c r="L104" s="13"/>
      <c r="M104" s="1"/>
    </row>
    <row x14ac:dyDescent="0.25" r="105" customHeight="1" ht="18.75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14">
        <f>(K121-I122)</f>
      </c>
      <c r="L105" s="13"/>
      <c r="M105" s="1"/>
    </row>
    <row x14ac:dyDescent="0.25" r="106" customHeight="1" ht="18.75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14">
        <f>(K122-I123)</f>
      </c>
      <c r="L106" s="13"/>
      <c r="M106" s="1"/>
    </row>
    <row x14ac:dyDescent="0.25" r="107" customHeight="1" ht="18.75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14">
        <f>(K123-I124)</f>
      </c>
      <c r="L107" s="13"/>
      <c r="M107" s="1"/>
    </row>
    <row x14ac:dyDescent="0.25" r="108" customHeight="1" ht="18.75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14">
        <f>(K124-I125)</f>
      </c>
      <c r="L108" s="13"/>
      <c r="M108" s="1"/>
    </row>
    <row x14ac:dyDescent="0.25" r="109" customHeight="1" ht="18.75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14">
        <f>(K125-I126)</f>
      </c>
      <c r="L109" s="13"/>
      <c r="M109" s="1"/>
    </row>
    <row x14ac:dyDescent="0.25" r="110" customHeight="1" ht="18.75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14">
        <f>(K126-I127)</f>
      </c>
      <c r="L110" s="13"/>
      <c r="M110" s="1"/>
    </row>
    <row x14ac:dyDescent="0.25" r="111" customHeight="1" ht="18.75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14">
        <f>(K127-I128)</f>
      </c>
      <c r="L111" s="13"/>
      <c r="M111" s="1"/>
    </row>
    <row x14ac:dyDescent="0.25" r="112" customHeight="1" ht="18.75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14">
        <f>(K128-I129)</f>
      </c>
      <c r="L112" s="13"/>
      <c r="M112" s="1"/>
    </row>
    <row x14ac:dyDescent="0.25" r="113" customHeight="1" ht="18.75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14">
        <f>(K129-I130)</f>
      </c>
      <c r="L113" s="13"/>
      <c r="M113" s="1"/>
    </row>
    <row x14ac:dyDescent="0.25" r="114" customHeight="1" ht="18.75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14">
        <f>(K130-I131)</f>
      </c>
      <c r="L114" s="13"/>
      <c r="M114" s="1"/>
    </row>
    <row x14ac:dyDescent="0.25" r="115" customHeight="1" ht="18.75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14">
        <f>(K131-I132)</f>
      </c>
      <c r="L115" s="13"/>
      <c r="M115" s="1"/>
    </row>
    <row x14ac:dyDescent="0.25" r="116" customHeight="1" ht="18.75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14">
        <f>(K132-I133)</f>
      </c>
      <c r="L116" s="13"/>
      <c r="M116" s="1"/>
    </row>
    <row x14ac:dyDescent="0.25" r="117" customHeight="1" ht="18.75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14">
        <f>(K133-I134)</f>
      </c>
      <c r="L117" s="13"/>
      <c r="M117" s="1"/>
    </row>
    <row x14ac:dyDescent="0.25" r="118" customHeight="1" ht="18.75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14">
        <f>(K134-I135)</f>
      </c>
      <c r="L118" s="13"/>
      <c r="M118" s="1"/>
    </row>
    <row x14ac:dyDescent="0.25" r="119" customHeight="1" ht="18.75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14">
        <f>(K135-I136)</f>
      </c>
      <c r="L119" s="13"/>
      <c r="M119" s="1"/>
    </row>
    <row x14ac:dyDescent="0.25" r="120" customHeight="1" ht="18.75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14">
        <f>(K136-I137)</f>
      </c>
      <c r="L120" s="13"/>
      <c r="M120" s="1"/>
    </row>
    <row x14ac:dyDescent="0.25" r="121" customHeight="1" ht="18.75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14">
        <f>(K137-I138)</f>
      </c>
      <c r="L121" s="13"/>
      <c r="M121" s="1"/>
    </row>
    <row x14ac:dyDescent="0.25" r="122" customHeight="1" ht="18.75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14">
        <f>(K138-I139)</f>
      </c>
      <c r="L122" s="13"/>
      <c r="M122" s="1"/>
    </row>
    <row x14ac:dyDescent="0.25" r="123" customHeight="1" ht="18.75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14">
        <f>(K139-I140)</f>
      </c>
      <c r="L123" s="13"/>
      <c r="M123" s="1"/>
    </row>
    <row x14ac:dyDescent="0.25" r="124" customHeight="1" ht="18.75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14">
        <f>(K140-I141)</f>
      </c>
      <c r="L124" s="13"/>
      <c r="M124" s="1"/>
    </row>
    <row x14ac:dyDescent="0.25" r="125" customHeight="1" ht="18.75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14">
        <f>(K141-I142)</f>
      </c>
      <c r="L125" s="13"/>
      <c r="M125" s="1"/>
    </row>
    <row x14ac:dyDescent="0.25" r="126" customHeight="1" ht="18.75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14">
        <f>(K142-I143)</f>
      </c>
      <c r="L126" s="13"/>
      <c r="M126" s="1"/>
    </row>
    <row x14ac:dyDescent="0.25" r="127" customHeight="1" ht="18.75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14">
        <f>(K143-I144)</f>
      </c>
      <c r="L127" s="13"/>
      <c r="M127" s="1"/>
    </row>
    <row x14ac:dyDescent="0.25" r="128" customHeight="1" ht="18.75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14">
        <f>(K144-I145)</f>
      </c>
      <c r="L128" s="13"/>
      <c r="M128" s="1"/>
    </row>
    <row x14ac:dyDescent="0.25" r="129" customHeight="1" ht="18.75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14">
        <f>(K145-I146)</f>
      </c>
      <c r="L129" s="13"/>
      <c r="M129" s="1"/>
    </row>
    <row x14ac:dyDescent="0.25" r="130" customHeight="1" ht="18.75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14">
        <f>(K129-I130)</f>
      </c>
      <c r="L130" s="13"/>
      <c r="M130" s="1"/>
    </row>
    <row x14ac:dyDescent="0.25" r="131" customHeight="1" ht="18.75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14">
        <f>(K130-I131)</f>
      </c>
      <c r="L131" s="13"/>
      <c r="M131" s="1"/>
    </row>
    <row x14ac:dyDescent="0.25" r="132" customHeight="1" ht="18.75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14">
        <f>(K131-I132)</f>
      </c>
      <c r="L132" s="13"/>
      <c r="M132" s="1"/>
    </row>
    <row x14ac:dyDescent="0.25" r="133" customHeight="1" ht="18.75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14">
        <f>(K132-I133)</f>
      </c>
      <c r="L133" s="13"/>
      <c r="M133" s="1"/>
    </row>
    <row x14ac:dyDescent="0.25" r="134" customHeight="1" ht="18.75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14">
        <f>(K133-I134)</f>
      </c>
      <c r="L134" s="13"/>
      <c r="M134" s="1"/>
    </row>
    <row x14ac:dyDescent="0.25" r="135" customHeight="1" ht="18.75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14">
        <f>(K134-I135)</f>
      </c>
      <c r="L135" s="13"/>
      <c r="M135" s="1"/>
    </row>
    <row x14ac:dyDescent="0.25" r="136" customHeight="1" ht="18.75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14">
        <f>(K135-I136)</f>
      </c>
      <c r="L136" s="13"/>
      <c r="M136" s="1"/>
    </row>
    <row x14ac:dyDescent="0.25" r="137" customHeight="1" ht="18.75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14">
        <f>(K136-I137)</f>
      </c>
      <c r="L137" s="13"/>
      <c r="M137" s="1"/>
    </row>
    <row x14ac:dyDescent="0.25" r="138" customHeight="1" ht="18.75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14">
        <f>(K137-I138)</f>
      </c>
      <c r="L138" s="13"/>
      <c r="M138" s="1"/>
    </row>
    <row x14ac:dyDescent="0.25" r="139" customHeight="1" ht="18.75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14">
        <f>(K138-I139)</f>
      </c>
      <c r="L139" s="13"/>
      <c r="M139" s="1"/>
    </row>
    <row x14ac:dyDescent="0.25" r="140" customHeight="1" ht="18.75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14">
        <f>(K139-I140)</f>
      </c>
      <c r="L140" s="13"/>
      <c r="M140" s="1"/>
    </row>
    <row x14ac:dyDescent="0.25" r="141" customHeight="1" ht="18.75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14">
        <f>(K140-I141)</f>
      </c>
      <c r="L141" s="13"/>
      <c r="M141" s="1"/>
    </row>
    <row x14ac:dyDescent="0.25" r="142" customHeight="1" ht="18.75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14">
        <f>(K141-I142)</f>
      </c>
      <c r="L142" s="13"/>
      <c r="M142" s="1"/>
    </row>
    <row x14ac:dyDescent="0.25" r="143" customHeight="1" ht="18.75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14">
        <f>(K142-I143)</f>
      </c>
      <c r="L143" s="13"/>
      <c r="M14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5"/>
  <sheetViews>
    <sheetView workbookViewId="0"/>
  </sheetViews>
  <sheetFormatPr defaultRowHeight="15" x14ac:dyDescent="0.25"/>
  <cols>
    <col min="1" max="1" style="5" width="23.005" customWidth="1" bestFit="1"/>
    <col min="2" max="2" style="5" width="38.005" customWidth="1" bestFit="1"/>
    <col min="3" max="3" style="6" width="23.14785714285714" customWidth="1" bestFit="1"/>
    <col min="4" max="4" style="7" width="28.005" customWidth="1" bestFit="1"/>
    <col min="5" max="5" style="5" width="18.005" customWidth="1" bestFit="1"/>
    <col min="6" max="6" style="5" width="21.576428571428572" customWidth="1" bestFit="1"/>
    <col min="7" max="7" style="7" width="17.862142857142857" customWidth="1" bestFit="1"/>
    <col min="8" max="8" style="5" width="14.862142857142858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x14ac:dyDescent="0.25" r="2" customHeight="1" ht="18.75">
      <c r="A2" s="1" t="s">
        <v>8</v>
      </c>
      <c r="B2" s="1" t="s">
        <v>9</v>
      </c>
      <c r="C2" s="4">
        <v>1</v>
      </c>
      <c r="D2" s="4">
        <v>50</v>
      </c>
      <c r="E2" s="1"/>
      <c r="F2" s="1"/>
      <c r="G2" s="4">
        <v>50</v>
      </c>
      <c r="H2" s="1"/>
    </row>
    <row x14ac:dyDescent="0.25" r="3" customHeight="1" ht="18.75">
      <c r="A3" s="1" t="s">
        <v>10</v>
      </c>
      <c r="B3" s="1" t="s">
        <v>11</v>
      </c>
      <c r="C3" s="4">
        <v>26</v>
      </c>
      <c r="D3" s="4">
        <v>60</v>
      </c>
      <c r="E3" s="1"/>
      <c r="F3" s="1"/>
      <c r="G3" s="3"/>
      <c r="H3" s="1"/>
    </row>
    <row x14ac:dyDescent="0.25" r="4" customHeight="1" ht="18.75">
      <c r="A4" s="1" t="s">
        <v>12</v>
      </c>
      <c r="B4" s="1" t="s">
        <v>13</v>
      </c>
      <c r="C4" s="2"/>
      <c r="D4" s="3"/>
      <c r="E4" s="1"/>
      <c r="F4" s="1"/>
      <c r="G4" s="3"/>
      <c r="H4" s="1"/>
    </row>
    <row x14ac:dyDescent="0.25" r="5" customHeight="1" ht="18.75">
      <c r="A5" s="1" t="s">
        <v>14</v>
      </c>
      <c r="B5" s="1" t="s">
        <v>11</v>
      </c>
      <c r="C5" s="4">
        <v>54</v>
      </c>
      <c r="D5" s="4">
        <v>60</v>
      </c>
      <c r="E5" s="1"/>
      <c r="F5" s="1"/>
      <c r="G5" s="3"/>
      <c r="H5" s="1"/>
    </row>
    <row x14ac:dyDescent="0.25" r="6" customHeight="1" ht="18.75">
      <c r="A6" s="1" t="s">
        <v>15</v>
      </c>
      <c r="B6" s="1" t="s">
        <v>16</v>
      </c>
      <c r="C6" s="4">
        <v>7</v>
      </c>
      <c r="D6" s="3"/>
      <c r="E6" s="1"/>
      <c r="F6" s="1"/>
      <c r="G6" s="3"/>
      <c r="H6" s="1"/>
    </row>
    <row x14ac:dyDescent="0.25" r="7" customHeight="1" ht="18.75">
      <c r="A7" s="1" t="s">
        <v>17</v>
      </c>
      <c r="B7" s="1" t="s">
        <v>18</v>
      </c>
      <c r="C7" s="4">
        <v>1</v>
      </c>
      <c r="D7" s="4">
        <v>50</v>
      </c>
      <c r="E7" s="1"/>
      <c r="F7" s="1"/>
      <c r="G7" s="4">
        <v>50</v>
      </c>
      <c r="H7" s="1"/>
    </row>
    <row x14ac:dyDescent="0.25" r="8" customHeight="1" ht="18.75">
      <c r="A8" s="1" t="s">
        <v>19</v>
      </c>
      <c r="B8" s="1" t="s">
        <v>16</v>
      </c>
      <c r="C8" s="4">
        <v>2</v>
      </c>
      <c r="D8" s="3"/>
      <c r="E8" s="1"/>
      <c r="F8" s="1"/>
      <c r="G8" s="3"/>
      <c r="H8" s="1"/>
    </row>
    <row x14ac:dyDescent="0.25" r="9" customHeight="1" ht="18.75">
      <c r="A9" s="1" t="s">
        <v>20</v>
      </c>
      <c r="B9" s="1" t="s">
        <v>21</v>
      </c>
      <c r="C9" s="4">
        <v>100</v>
      </c>
      <c r="D9" s="4">
        <v>75</v>
      </c>
      <c r="E9" s="1"/>
      <c r="F9" s="1"/>
      <c r="G9" s="3"/>
      <c r="H9" s="1"/>
    </row>
    <row x14ac:dyDescent="0.25" r="10" customHeight="1" ht="18.75">
      <c r="A10" s="1" t="s">
        <v>22</v>
      </c>
      <c r="B10" s="1" t="s">
        <v>23</v>
      </c>
      <c r="C10" s="4">
        <v>100</v>
      </c>
      <c r="D10" s="4">
        <v>55</v>
      </c>
      <c r="E10" s="1"/>
      <c r="F10" s="1"/>
      <c r="G10" s="3"/>
      <c r="H10" s="1"/>
    </row>
    <row x14ac:dyDescent="0.25" r="11" customHeight="1" ht="18.75">
      <c r="A11" s="1" t="s">
        <v>22</v>
      </c>
      <c r="B11" s="1" t="s">
        <v>24</v>
      </c>
      <c r="C11" s="4">
        <v>1</v>
      </c>
      <c r="D11" s="3"/>
      <c r="E11" s="1"/>
      <c r="F11" s="1"/>
      <c r="G11" s="3"/>
      <c r="H11" s="1"/>
    </row>
    <row x14ac:dyDescent="0.25" r="12" customHeight="1" ht="18.75">
      <c r="A12" s="1" t="s">
        <v>25</v>
      </c>
      <c r="B12" s="1" t="s">
        <v>11</v>
      </c>
      <c r="C12" s="4">
        <v>100</v>
      </c>
      <c r="D12" s="4">
        <v>56</v>
      </c>
      <c r="E12" s="1"/>
      <c r="F12" s="1"/>
      <c r="G12" s="3"/>
      <c r="H12" s="1"/>
    </row>
    <row x14ac:dyDescent="0.25" r="13" customHeight="1" ht="18.75">
      <c r="A13" s="1" t="s">
        <v>26</v>
      </c>
      <c r="B13" s="1" t="s">
        <v>18</v>
      </c>
      <c r="C13" s="4">
        <v>1</v>
      </c>
      <c r="D13" s="4">
        <v>50</v>
      </c>
      <c r="E13" s="1"/>
      <c r="F13" s="1"/>
      <c r="G13" s="3"/>
      <c r="H13" s="1"/>
    </row>
    <row x14ac:dyDescent="0.25" r="14" customHeight="1" ht="18.75">
      <c r="A14" s="1" t="s">
        <v>27</v>
      </c>
      <c r="B14" s="1" t="s">
        <v>21</v>
      </c>
      <c r="C14" s="4">
        <v>100</v>
      </c>
      <c r="D14" s="4">
        <v>75</v>
      </c>
      <c r="E14" s="1"/>
      <c r="F14" s="1"/>
      <c r="G14" s="3"/>
      <c r="H14" s="1"/>
    </row>
    <row x14ac:dyDescent="0.25" r="15" customHeight="1" ht="18.75">
      <c r="A15" s="1" t="s">
        <v>27</v>
      </c>
      <c r="B15" s="1" t="s">
        <v>18</v>
      </c>
      <c r="C15" s="4">
        <v>1</v>
      </c>
      <c r="D15" s="4">
        <v>50</v>
      </c>
      <c r="E15" s="1"/>
      <c r="F15" s="1"/>
      <c r="G15" s="3"/>
      <c r="H15" s="1"/>
    </row>
    <row x14ac:dyDescent="0.25" r="16" customHeight="1" ht="18.75">
      <c r="A16" s="1" t="s">
        <v>28</v>
      </c>
      <c r="B16" s="1" t="s">
        <v>24</v>
      </c>
      <c r="C16" s="4">
        <v>1</v>
      </c>
      <c r="D16" s="3"/>
      <c r="E16" s="1"/>
      <c r="F16" s="1"/>
      <c r="G16" s="3"/>
      <c r="H16" s="1"/>
    </row>
    <row x14ac:dyDescent="0.25" r="17" customHeight="1" ht="18.75">
      <c r="A17" s="1" t="s">
        <v>29</v>
      </c>
      <c r="B17" s="1" t="s">
        <v>18</v>
      </c>
      <c r="C17" s="4">
        <v>2</v>
      </c>
      <c r="D17" s="4">
        <v>75</v>
      </c>
      <c r="E17" s="1"/>
      <c r="F17" s="1"/>
      <c r="G17" s="3"/>
      <c r="H17" s="1"/>
    </row>
    <row x14ac:dyDescent="0.25" r="18" customHeight="1" ht="18.75">
      <c r="A18" s="1" t="s">
        <v>29</v>
      </c>
      <c r="B18" s="1" t="s">
        <v>23</v>
      </c>
      <c r="C18" s="4">
        <v>98</v>
      </c>
      <c r="D18" s="4">
        <v>60</v>
      </c>
      <c r="E18" s="1"/>
      <c r="F18" s="1"/>
      <c r="G18" s="3"/>
      <c r="H18" s="1"/>
    </row>
    <row x14ac:dyDescent="0.25" r="19" customHeight="1" ht="18.75">
      <c r="A19" s="1" t="s">
        <v>30</v>
      </c>
      <c r="B19" s="1" t="s">
        <v>31</v>
      </c>
      <c r="C19" s="4">
        <v>1</v>
      </c>
      <c r="D19" s="4">
        <v>75</v>
      </c>
      <c r="E19" s="1"/>
      <c r="F19" s="1"/>
      <c r="G19" s="3"/>
      <c r="H19" s="1"/>
    </row>
    <row x14ac:dyDescent="0.25" r="20" customHeight="1" ht="18.75">
      <c r="A20" s="1" t="s">
        <v>32</v>
      </c>
      <c r="B20" s="1" t="s">
        <v>11</v>
      </c>
      <c r="C20" s="4">
        <v>50</v>
      </c>
      <c r="D20" s="4">
        <v>60</v>
      </c>
      <c r="E20" s="1"/>
      <c r="F20" s="1"/>
      <c r="G20" s="3"/>
      <c r="H20" s="1"/>
    </row>
    <row x14ac:dyDescent="0.25" r="21" customHeight="1" ht="18.75">
      <c r="A21" s="1" t="s">
        <v>33</v>
      </c>
      <c r="B21" s="1" t="s">
        <v>34</v>
      </c>
      <c r="C21" s="4">
        <v>2</v>
      </c>
      <c r="D21" s="3"/>
      <c r="E21" s="1"/>
      <c r="F21" s="1"/>
      <c r="G21" s="3"/>
      <c r="H21" s="1"/>
    </row>
    <row x14ac:dyDescent="0.25" r="22" customHeight="1" ht="18.75">
      <c r="A22" s="1" t="s">
        <v>35</v>
      </c>
      <c r="B22" s="1" t="s">
        <v>36</v>
      </c>
      <c r="C22" s="4">
        <v>1</v>
      </c>
      <c r="D22" s="3"/>
      <c r="E22" s="1"/>
      <c r="F22" s="1"/>
      <c r="G22" s="3"/>
      <c r="H22" s="1"/>
    </row>
    <row x14ac:dyDescent="0.25" r="23" customHeight="1" ht="18.75">
      <c r="A23" s="1" t="s">
        <v>37</v>
      </c>
      <c r="B23" s="1" t="s">
        <v>38</v>
      </c>
      <c r="C23" s="4">
        <v>1</v>
      </c>
      <c r="D23" s="4">
        <v>75</v>
      </c>
      <c r="E23" s="1"/>
      <c r="F23" s="1"/>
      <c r="G23" s="3"/>
      <c r="H23" s="1"/>
    </row>
    <row x14ac:dyDescent="0.25" r="24" customHeight="1" ht="18.75">
      <c r="A24" s="1" t="s">
        <v>39</v>
      </c>
      <c r="B24" s="1" t="s">
        <v>21</v>
      </c>
      <c r="C24" s="4">
        <v>98</v>
      </c>
      <c r="D24" s="3"/>
      <c r="E24" s="1"/>
      <c r="F24" s="1"/>
      <c r="G24" s="3"/>
      <c r="H24" s="1"/>
    </row>
    <row x14ac:dyDescent="0.25" r="25" customHeight="1" ht="18.75">
      <c r="A25" s="1" t="s">
        <v>39</v>
      </c>
      <c r="B25" s="1" t="s">
        <v>40</v>
      </c>
      <c r="C25" s="4">
        <v>10</v>
      </c>
      <c r="D25" s="4">
        <v>58</v>
      </c>
      <c r="E25" s="1"/>
      <c r="F25" s="1" t="s">
        <v>41</v>
      </c>
      <c r="G25" s="3"/>
      <c r="H25" s="1"/>
    </row>
    <row x14ac:dyDescent="0.25" r="26" customHeight="1" ht="18.75">
      <c r="A26" s="1" t="s">
        <v>39</v>
      </c>
      <c r="B26" s="1" t="s">
        <v>42</v>
      </c>
      <c r="C26" s="4">
        <v>10</v>
      </c>
      <c r="D26" s="3"/>
      <c r="E26" s="1"/>
      <c r="F26" s="1"/>
      <c r="G26" s="3"/>
      <c r="H26" s="1"/>
    </row>
    <row x14ac:dyDescent="0.25" r="27" customHeight="1" ht="18.75">
      <c r="A27" s="1" t="s">
        <v>39</v>
      </c>
      <c r="B27" s="1" t="s">
        <v>43</v>
      </c>
      <c r="C27" s="4">
        <v>1</v>
      </c>
      <c r="D27" s="3"/>
      <c r="E27" s="1"/>
      <c r="F27" s="1"/>
      <c r="G27" s="3"/>
      <c r="H27" s="1"/>
    </row>
    <row x14ac:dyDescent="0.25" r="28" customHeight="1" ht="18.75">
      <c r="A28" s="1" t="s">
        <v>44</v>
      </c>
      <c r="B28" s="1" t="s">
        <v>23</v>
      </c>
      <c r="C28" s="4">
        <v>150</v>
      </c>
      <c r="D28" s="3"/>
      <c r="E28" s="1"/>
      <c r="F28" s="1"/>
      <c r="G28" s="3"/>
      <c r="H28" s="1"/>
    </row>
    <row x14ac:dyDescent="0.25" r="29" customHeight="1" ht="18.75">
      <c r="A29" s="1" t="s">
        <v>44</v>
      </c>
      <c r="B29" s="1" t="s">
        <v>45</v>
      </c>
      <c r="C29" s="4">
        <v>2</v>
      </c>
      <c r="D29" s="3"/>
      <c r="E29" s="1"/>
      <c r="F29" s="1"/>
      <c r="G29" s="3"/>
      <c r="H29" s="1"/>
    </row>
    <row x14ac:dyDescent="0.25" r="30" customHeight="1" ht="18.75">
      <c r="A30" s="1" t="s">
        <v>44</v>
      </c>
      <c r="B30" s="1" t="s">
        <v>43</v>
      </c>
      <c r="C30" s="4">
        <v>1</v>
      </c>
      <c r="D30" s="3"/>
      <c r="E30" s="1"/>
      <c r="F30" s="1"/>
      <c r="G30" s="3"/>
      <c r="H30" s="1"/>
    </row>
    <row x14ac:dyDescent="0.25" r="31" customHeight="1" ht="18.75">
      <c r="A31" s="1" t="s">
        <v>46</v>
      </c>
      <c r="B31" s="1" t="s">
        <v>11</v>
      </c>
      <c r="C31" s="4">
        <v>100</v>
      </c>
      <c r="D31" s="3"/>
      <c r="E31" s="1"/>
      <c r="F31" s="1"/>
      <c r="G31" s="3"/>
      <c r="H31" s="1"/>
    </row>
    <row x14ac:dyDescent="0.25" r="32" customHeight="1" ht="18.75">
      <c r="A32" s="1" t="s">
        <v>46</v>
      </c>
      <c r="B32" s="1" t="s">
        <v>47</v>
      </c>
      <c r="C32" s="4">
        <v>10</v>
      </c>
      <c r="D32" s="3"/>
      <c r="E32" s="1"/>
      <c r="F32" s="1"/>
      <c r="G32" s="3"/>
      <c r="H32" s="1"/>
    </row>
    <row x14ac:dyDescent="0.25" r="33" customHeight="1" ht="18.75">
      <c r="A33" s="1" t="s">
        <v>48</v>
      </c>
      <c r="B33" s="1" t="s">
        <v>18</v>
      </c>
      <c r="C33" s="4">
        <v>1</v>
      </c>
      <c r="D33" s="3"/>
      <c r="E33" s="1"/>
      <c r="F33" s="1"/>
      <c r="G33" s="3"/>
      <c r="H33" s="1"/>
    </row>
    <row x14ac:dyDescent="0.25" r="34" customHeight="1" ht="18.75">
      <c r="A34" s="1" t="s">
        <v>49</v>
      </c>
      <c r="B34" s="1" t="s">
        <v>18</v>
      </c>
      <c r="C34" s="4">
        <v>5</v>
      </c>
      <c r="D34" s="4">
        <v>70</v>
      </c>
      <c r="E34" s="1"/>
      <c r="F34" s="1"/>
      <c r="G34" s="3"/>
      <c r="H34" s="1"/>
    </row>
    <row x14ac:dyDescent="0.25" r="35" customHeight="1" ht="18.75">
      <c r="A35" s="1" t="s">
        <v>50</v>
      </c>
      <c r="B35" s="1" t="s">
        <v>21</v>
      </c>
      <c r="C35" s="4">
        <v>100</v>
      </c>
      <c r="D35" s="3"/>
      <c r="E35" s="1"/>
      <c r="F35" s="1"/>
      <c r="G35" s="3"/>
      <c r="H35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Daily reports </vt:lpstr>
      <vt:lpstr>Eggs Sales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2025-10-29T08:43:30.126Z</dcterms:created>
  <dcterms:modified xsi:type="dcterms:W3CDTF">2025-10-29T08:43:30.126Z</dcterms:modified>
</cp:coreProperties>
</file>